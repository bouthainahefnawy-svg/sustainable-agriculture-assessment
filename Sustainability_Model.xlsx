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Sustainable_Agriculture_App\"/>
    </mc:Choice>
  </mc:AlternateContent>
  <xr:revisionPtr revIDLastSave="0" documentId="13_ncr:1_{A2894447-8486-4692-97F1-059B5448AE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base" sheetId="1" r:id="rId1"/>
    <sheet name="assessment" sheetId="2" r:id="rId2"/>
    <sheet name="results" sheetId="3" r:id="rId3"/>
    <sheet name="refrenc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3" l="1"/>
  <c r="B22" i="3"/>
  <c r="B21" i="3"/>
  <c r="B20" i="3"/>
  <c r="B19" i="3"/>
  <c r="B16" i="3"/>
  <c r="C24" i="2"/>
  <c r="C23" i="2"/>
  <c r="B31" i="3" s="1"/>
  <c r="C22" i="2"/>
  <c r="B28" i="3" s="1"/>
  <c r="C21" i="2"/>
  <c r="B27" i="3" s="1"/>
  <c r="C20" i="2"/>
  <c r="B26" i="3" s="1"/>
  <c r="C19" i="2"/>
  <c r="B25" i="3" s="1"/>
  <c r="B29" i="3" s="1"/>
  <c r="B30" i="3" s="1"/>
  <c r="C2" i="2"/>
  <c r="C18" i="2"/>
  <c r="C17" i="2"/>
  <c r="C16" i="2"/>
  <c r="C15" i="2"/>
  <c r="C12" i="2"/>
  <c r="B14" i="3" s="1"/>
  <c r="C13" i="2"/>
  <c r="B15" i="3" s="1"/>
  <c r="C14" i="2"/>
  <c r="C4" i="2"/>
  <c r="B23" i="3" l="1"/>
  <c r="B24" i="3" s="1"/>
  <c r="B33" i="3"/>
  <c r="B34" i="3" s="1"/>
  <c r="B17" i="3"/>
  <c r="B18" i="3" s="1"/>
  <c r="B5" i="3"/>
  <c r="B2" i="3"/>
  <c r="C11" i="2"/>
  <c r="B11" i="3" s="1"/>
  <c r="C10" i="2"/>
  <c r="B10" i="3" s="1"/>
  <c r="C9" i="2"/>
  <c r="B9" i="3" s="1"/>
  <c r="C8" i="2"/>
  <c r="B8" i="3" s="1"/>
  <c r="C7" i="2"/>
  <c r="B7" i="3" s="1"/>
  <c r="C6" i="2"/>
  <c r="B6" i="3" s="1"/>
  <c r="C5" i="2"/>
  <c r="C3" i="2"/>
  <c r="B3" i="3" s="1"/>
  <c r="B4" i="3"/>
  <c r="B12" i="3" l="1"/>
  <c r="B36" i="3" l="1"/>
  <c r="B37" i="3" s="1"/>
  <c r="B13" i="3"/>
</calcChain>
</file>

<file path=xl/sharedStrings.xml><?xml version="1.0" encoding="utf-8"?>
<sst xmlns="http://schemas.openxmlformats.org/spreadsheetml/2006/main" count="599" uniqueCount="147">
  <si>
    <t>Indicator</t>
  </si>
  <si>
    <t>Min</t>
  </si>
  <si>
    <t>Max</t>
  </si>
  <si>
    <t>Category</t>
  </si>
  <si>
    <t>Rank</t>
  </si>
  <si>
    <t>Score</t>
  </si>
  <si>
    <t>Moderate</t>
  </si>
  <si>
    <t>ECe</t>
  </si>
  <si>
    <t>Very Low</t>
  </si>
  <si>
    <t>Low</t>
  </si>
  <si>
    <t>Very High</t>
  </si>
  <si>
    <t>High</t>
  </si>
  <si>
    <t>Input</t>
  </si>
  <si>
    <t>Ece</t>
  </si>
  <si>
    <t>score</t>
  </si>
  <si>
    <t>ID</t>
  </si>
  <si>
    <t>Recommendation</t>
  </si>
  <si>
    <t>soil depth</t>
  </si>
  <si>
    <t>texture</t>
  </si>
  <si>
    <t>CEC</t>
  </si>
  <si>
    <t>Slope</t>
  </si>
  <si>
    <t>ph</t>
  </si>
  <si>
    <t>Surface fragments</t>
  </si>
  <si>
    <t>Hardpan layers</t>
  </si>
  <si>
    <t>OM</t>
  </si>
  <si>
    <t>…...</t>
  </si>
  <si>
    <t>…..</t>
  </si>
  <si>
    <t>Very Shallow</t>
  </si>
  <si>
    <t xml:space="preserve"> Shallow</t>
  </si>
  <si>
    <t xml:space="preserve"> Deep</t>
  </si>
  <si>
    <t>Very Deep</t>
  </si>
  <si>
    <t>CaCO3</t>
  </si>
  <si>
    <t>Non-Calcareous</t>
  </si>
  <si>
    <t>Slightly Calcareous</t>
  </si>
  <si>
    <t>Moderately Calcareous</t>
  </si>
  <si>
    <t>Strongly Calcareous</t>
  </si>
  <si>
    <t>Extremely Calcareous</t>
  </si>
  <si>
    <t>very low</t>
  </si>
  <si>
    <t>low</t>
  </si>
  <si>
    <t>moderate</t>
  </si>
  <si>
    <t>high</t>
  </si>
  <si>
    <t>…....</t>
  </si>
  <si>
    <t>Level</t>
  </si>
  <si>
    <t>Gently Sloping</t>
  </si>
  <si>
    <t>Sloping</t>
  </si>
  <si>
    <t>Strongly Sloping</t>
  </si>
  <si>
    <t>Very Strongly Sloping</t>
  </si>
  <si>
    <t>slope</t>
  </si>
  <si>
    <t>Rubbly</t>
  </si>
  <si>
    <t xml:space="preserve">Very rubbly </t>
  </si>
  <si>
    <t>stony</t>
  </si>
  <si>
    <t>very stony</t>
  </si>
  <si>
    <t xml:space="preserve">Extremely stony </t>
  </si>
  <si>
    <t>….</t>
  </si>
  <si>
    <t>Absent</t>
  </si>
  <si>
    <t>Moderately effective</t>
  </si>
  <si>
    <t>Strongly effective</t>
  </si>
  <si>
    <t>Not suitable</t>
  </si>
  <si>
    <t xml:space="preserve">      High </t>
  </si>
  <si>
    <t xml:space="preserve"> Moderate</t>
  </si>
  <si>
    <t>om</t>
  </si>
  <si>
    <t>Neutral</t>
  </si>
  <si>
    <t>Slightly Alkaline</t>
  </si>
  <si>
    <t>Moderately Alkaline</t>
  </si>
  <si>
    <t>Strongly Alkaline</t>
  </si>
  <si>
    <t>loam</t>
  </si>
  <si>
    <t>silt loam</t>
  </si>
  <si>
    <t>clay loam</t>
  </si>
  <si>
    <t>sandy loam</t>
  </si>
  <si>
    <t>sandy clay loam</t>
  </si>
  <si>
    <t>silty clay</t>
  </si>
  <si>
    <t>sand</t>
  </si>
  <si>
    <t>loamy sand</t>
  </si>
  <si>
    <t xml:space="preserve">clay </t>
  </si>
  <si>
    <t>soil index</t>
  </si>
  <si>
    <t>Soil Rating</t>
  </si>
  <si>
    <t>Class</t>
  </si>
  <si>
    <t>Rating</t>
  </si>
  <si>
    <t>I</t>
  </si>
  <si>
    <t>II</t>
  </si>
  <si>
    <t>III</t>
  </si>
  <si>
    <t>IV</t>
  </si>
  <si>
    <t>min</t>
  </si>
  <si>
    <t>max</t>
  </si>
  <si>
    <t xml:space="preserve"> Low</t>
  </si>
  <si>
    <r>
      <t>CaCO</t>
    </r>
    <r>
      <rPr>
        <vertAlign val="subscript"/>
        <sz val="12"/>
        <color theme="1"/>
        <rFont val="Times New Roman"/>
        <family val="1"/>
      </rPr>
      <t>3</t>
    </r>
  </si>
  <si>
    <t>Erosion</t>
  </si>
  <si>
    <t>No Erosion</t>
  </si>
  <si>
    <t>Slight Erosion</t>
  </si>
  <si>
    <t>Moderate Erosion</t>
  </si>
  <si>
    <t>Severe Erosion</t>
  </si>
  <si>
    <t>Very Severe</t>
  </si>
  <si>
    <t>Flooding</t>
  </si>
  <si>
    <t>No Flooding</t>
  </si>
  <si>
    <t>Ndvi</t>
  </si>
  <si>
    <t>Moderate To High</t>
  </si>
  <si>
    <t>Sparse Vegetation</t>
  </si>
  <si>
    <t>Bare Soil / No Vegetation</t>
  </si>
  <si>
    <t>Slight(Not longer than 1-2 month)</t>
  </si>
  <si>
    <t>Moderate(Not longer than 2-3 month)</t>
  </si>
  <si>
    <t>Severe(Not longer than 3-4 month)</t>
  </si>
  <si>
    <t>Very Severe(≥4 month)</t>
  </si>
  <si>
    <t>Rainfall</t>
  </si>
  <si>
    <t>Evapotranspiration</t>
  </si>
  <si>
    <t xml:space="preserve">Low </t>
  </si>
  <si>
    <t>Wind Speed</t>
  </si>
  <si>
    <t>Light</t>
  </si>
  <si>
    <t>strong</t>
  </si>
  <si>
    <t>very strong</t>
  </si>
  <si>
    <t>Temperature</t>
  </si>
  <si>
    <t>proximity to roads</t>
  </si>
  <si>
    <t>Acceptable dirt road</t>
  </si>
  <si>
    <t>Good asphalt road</t>
  </si>
  <si>
    <t>Proximity to markets</t>
  </si>
  <si>
    <t>Less than 15 km</t>
  </si>
  <si>
    <t>15–30 km</t>
  </si>
  <si>
    <t>More than 30 km</t>
  </si>
  <si>
    <t>Proximity to service centers</t>
  </si>
  <si>
    <t>Basic services available (school + health center) or more</t>
  </si>
  <si>
    <t>Only one service available (school or health center)</t>
  </si>
  <si>
    <t>No services available</t>
  </si>
  <si>
    <t>Energy Availability</t>
  </si>
  <si>
    <t>National electricity grid</t>
  </si>
  <si>
    <t>Solar energy available</t>
  </si>
  <si>
    <t>Diesel generator</t>
  </si>
  <si>
    <t>No electricity</t>
  </si>
  <si>
    <t>Water Availability</t>
  </si>
  <si>
    <t>Surface water available</t>
  </si>
  <si>
    <t>Productive groundwater aquifer</t>
  </si>
  <si>
    <t>Moderate groundwater availability</t>
  </si>
  <si>
    <t>Limited groundwater availability</t>
  </si>
  <si>
    <t>No reliable water source</t>
  </si>
  <si>
    <t>Water Quality</t>
  </si>
  <si>
    <t>very high</t>
  </si>
  <si>
    <t>protection index</t>
  </si>
  <si>
    <t>protection rating</t>
  </si>
  <si>
    <t>climate index</t>
  </si>
  <si>
    <t>climate rating</t>
  </si>
  <si>
    <t>infrastructure index</t>
  </si>
  <si>
    <t>infrastructure rating</t>
  </si>
  <si>
    <t>water index</t>
  </si>
  <si>
    <t>water rating</t>
  </si>
  <si>
    <t>Overall Sustainability Index</t>
  </si>
  <si>
    <t>Overall Sustainability rating</t>
  </si>
  <si>
    <t>Input Type</t>
  </si>
  <si>
    <t>Numeric</t>
  </si>
  <si>
    <t>….....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</si>
</sst>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vertAlign val="subscript"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9" fontId="0" fillId="0" borderId="0" xfId="0" applyNumberFormat="1"/>
    <xf numFmtId="0" fontId="2" fillId="0" borderId="0" xfId="0" applyFont="1"/>
    <xf numFmtId="16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"/>
  <sheetViews>
    <sheetView tabSelected="1" zoomScale="146" zoomScaleNormal="146" workbookViewId="0">
      <pane ySplit="1" topLeftCell="A2" activePane="bottomLeft" state="frozen"/>
      <selection pane="bottomLeft" activeCell="A129" sqref="A129"/>
    </sheetView>
  </sheetViews>
  <sheetFormatPr defaultRowHeight="14.4" x14ac:dyDescent="0.3"/>
  <cols>
    <col min="1" max="1" width="18.77734375" customWidth="1"/>
    <col min="4" max="4" width="17.109375" customWidth="1"/>
    <col min="13" max="13" width="12.77734375" customWidth="1"/>
    <col min="14" max="14" width="21.21875" customWidth="1"/>
    <col min="15" max="15" width="19" customWidth="1"/>
    <col min="16" max="16" width="16.33203125" customWidth="1"/>
  </cols>
  <sheetData>
    <row r="1" spans="1:10" x14ac:dyDescent="0.3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15</v>
      </c>
      <c r="H1" t="s">
        <v>144</v>
      </c>
    </row>
    <row r="2" spans="1:10" x14ac:dyDescent="0.3">
      <c r="A2" s="4" t="s">
        <v>7</v>
      </c>
      <c r="B2" s="2">
        <v>0</v>
      </c>
      <c r="C2" s="2">
        <v>4</v>
      </c>
      <c r="D2" s="4" t="s">
        <v>8</v>
      </c>
      <c r="E2" s="2">
        <v>5</v>
      </c>
      <c r="F2" s="2">
        <v>100</v>
      </c>
      <c r="G2" s="2">
        <v>1</v>
      </c>
      <c r="H2" t="s">
        <v>145</v>
      </c>
    </row>
    <row r="3" spans="1:10" x14ac:dyDescent="0.3">
      <c r="A3" s="4" t="s">
        <v>7</v>
      </c>
      <c r="B3" s="2">
        <v>4</v>
      </c>
      <c r="C3" s="2">
        <v>8</v>
      </c>
      <c r="D3" s="4" t="s">
        <v>9</v>
      </c>
      <c r="E3" s="2">
        <v>4</v>
      </c>
      <c r="F3" s="2">
        <v>95</v>
      </c>
      <c r="G3" s="2">
        <v>2</v>
      </c>
      <c r="H3" t="s">
        <v>145</v>
      </c>
    </row>
    <row r="4" spans="1:10" ht="16.8" customHeight="1" x14ac:dyDescent="0.3">
      <c r="A4" s="4" t="s">
        <v>7</v>
      </c>
      <c r="B4" s="2">
        <v>8</v>
      </c>
      <c r="C4" s="2">
        <v>16</v>
      </c>
      <c r="D4" s="4" t="s">
        <v>6</v>
      </c>
      <c r="E4" s="2">
        <v>3</v>
      </c>
      <c r="F4" s="2">
        <v>90</v>
      </c>
      <c r="G4" s="2">
        <v>3</v>
      </c>
      <c r="H4" t="s">
        <v>145</v>
      </c>
    </row>
    <row r="5" spans="1:10" x14ac:dyDescent="0.3">
      <c r="A5" s="4" t="s">
        <v>7</v>
      </c>
      <c r="B5" s="2">
        <v>16</v>
      </c>
      <c r="C5" s="2">
        <v>32</v>
      </c>
      <c r="D5" s="4" t="s">
        <v>11</v>
      </c>
      <c r="E5" s="2">
        <v>2</v>
      </c>
      <c r="F5" s="2">
        <v>85</v>
      </c>
      <c r="G5" s="2">
        <v>4</v>
      </c>
      <c r="H5" t="s">
        <v>145</v>
      </c>
    </row>
    <row r="6" spans="1:10" x14ac:dyDescent="0.3">
      <c r="A6" s="4" t="s">
        <v>7</v>
      </c>
      <c r="B6" s="2">
        <v>32</v>
      </c>
      <c r="C6" s="2">
        <v>999</v>
      </c>
      <c r="D6" s="4" t="s">
        <v>10</v>
      </c>
      <c r="E6" s="2">
        <v>1</v>
      </c>
      <c r="F6" s="2">
        <v>80</v>
      </c>
      <c r="G6" s="2">
        <v>5</v>
      </c>
      <c r="H6" t="s">
        <v>145</v>
      </c>
    </row>
    <row r="7" spans="1:10" x14ac:dyDescent="0.3">
      <c r="A7" s="4" t="s">
        <v>25</v>
      </c>
      <c r="B7" s="2" t="s">
        <v>26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  <c r="H7" s="2" t="s">
        <v>26</v>
      </c>
    </row>
    <row r="8" spans="1:10" x14ac:dyDescent="0.3">
      <c r="A8" s="4" t="s">
        <v>17</v>
      </c>
      <c r="B8" s="2">
        <v>0</v>
      </c>
      <c r="C8" s="2">
        <v>25</v>
      </c>
      <c r="D8" t="s">
        <v>27</v>
      </c>
      <c r="E8" s="2">
        <v>1</v>
      </c>
      <c r="F8" s="2">
        <v>50</v>
      </c>
      <c r="G8">
        <v>1</v>
      </c>
      <c r="H8" t="s">
        <v>145</v>
      </c>
    </row>
    <row r="9" spans="1:10" x14ac:dyDescent="0.3">
      <c r="A9" s="4" t="s">
        <v>17</v>
      </c>
      <c r="B9" s="2">
        <v>25</v>
      </c>
      <c r="C9" s="2">
        <v>60</v>
      </c>
      <c r="D9" t="s">
        <v>28</v>
      </c>
      <c r="E9" s="2">
        <v>2</v>
      </c>
      <c r="F9" s="2">
        <v>70</v>
      </c>
      <c r="G9">
        <v>2</v>
      </c>
      <c r="H9" t="s">
        <v>145</v>
      </c>
      <c r="J9" s="2"/>
    </row>
    <row r="10" spans="1:10" x14ac:dyDescent="0.3">
      <c r="A10" s="4" t="s">
        <v>17</v>
      </c>
      <c r="B10" s="2">
        <v>60</v>
      </c>
      <c r="C10" s="2">
        <v>90</v>
      </c>
      <c r="D10" t="s">
        <v>6</v>
      </c>
      <c r="E10" s="2">
        <v>3</v>
      </c>
      <c r="F10" s="2">
        <v>80</v>
      </c>
      <c r="G10">
        <v>3</v>
      </c>
      <c r="H10" t="s">
        <v>145</v>
      </c>
      <c r="J10" s="2"/>
    </row>
    <row r="11" spans="1:10" x14ac:dyDescent="0.3">
      <c r="A11" s="4" t="s">
        <v>17</v>
      </c>
      <c r="B11" s="2">
        <v>90</v>
      </c>
      <c r="C11" s="2">
        <v>120</v>
      </c>
      <c r="D11" t="s">
        <v>29</v>
      </c>
      <c r="E11" s="2">
        <v>4</v>
      </c>
      <c r="F11" s="2">
        <v>90</v>
      </c>
      <c r="G11">
        <v>4</v>
      </c>
      <c r="H11" t="s">
        <v>145</v>
      </c>
      <c r="J11" s="2"/>
    </row>
    <row r="12" spans="1:10" x14ac:dyDescent="0.3">
      <c r="A12" s="4" t="s">
        <v>17</v>
      </c>
      <c r="B12" s="2">
        <v>120</v>
      </c>
      <c r="C12" s="2">
        <v>999</v>
      </c>
      <c r="D12" t="s">
        <v>30</v>
      </c>
      <c r="E12" s="2">
        <v>5</v>
      </c>
      <c r="F12" s="2">
        <v>100</v>
      </c>
      <c r="G12">
        <v>5</v>
      </c>
      <c r="H12" t="s">
        <v>145</v>
      </c>
      <c r="J12" s="2"/>
    </row>
    <row r="13" spans="1:10" x14ac:dyDescent="0.3">
      <c r="A13" s="4" t="s">
        <v>25</v>
      </c>
      <c r="B13" s="4" t="s">
        <v>25</v>
      </c>
      <c r="C13" s="4" t="s">
        <v>25</v>
      </c>
      <c r="D13" s="4" t="s">
        <v>25</v>
      </c>
      <c r="E13" s="4" t="s">
        <v>25</v>
      </c>
      <c r="F13" s="4" t="s">
        <v>25</v>
      </c>
      <c r="G13" s="4" t="s">
        <v>25</v>
      </c>
      <c r="H13" s="4" t="s">
        <v>25</v>
      </c>
      <c r="J13" s="2"/>
    </row>
    <row r="14" spans="1:10" x14ac:dyDescent="0.3">
      <c r="A14" s="4" t="s">
        <v>31</v>
      </c>
      <c r="B14" s="2">
        <v>0</v>
      </c>
      <c r="C14" s="2">
        <v>0</v>
      </c>
      <c r="D14" t="s">
        <v>32</v>
      </c>
      <c r="E14">
        <v>5</v>
      </c>
      <c r="F14">
        <v>100</v>
      </c>
      <c r="G14">
        <v>1</v>
      </c>
      <c r="H14" t="s">
        <v>145</v>
      </c>
    </row>
    <row r="15" spans="1:10" x14ac:dyDescent="0.3">
      <c r="A15" t="s">
        <v>31</v>
      </c>
      <c r="B15" s="2">
        <v>0</v>
      </c>
      <c r="C15" s="2">
        <v>2</v>
      </c>
      <c r="D15" t="s">
        <v>33</v>
      </c>
      <c r="E15">
        <v>4</v>
      </c>
      <c r="F15">
        <v>95</v>
      </c>
      <c r="G15">
        <v>2</v>
      </c>
      <c r="H15" t="s">
        <v>145</v>
      </c>
    </row>
    <row r="16" spans="1:10" x14ac:dyDescent="0.3">
      <c r="A16" t="s">
        <v>31</v>
      </c>
      <c r="B16" s="2">
        <v>2</v>
      </c>
      <c r="C16" s="2">
        <v>10</v>
      </c>
      <c r="D16" t="s">
        <v>34</v>
      </c>
      <c r="E16">
        <v>3</v>
      </c>
      <c r="F16">
        <v>90</v>
      </c>
      <c r="G16">
        <v>3</v>
      </c>
      <c r="H16" t="s">
        <v>145</v>
      </c>
    </row>
    <row r="17" spans="1:8" x14ac:dyDescent="0.3">
      <c r="A17" t="s">
        <v>31</v>
      </c>
      <c r="B17" s="2">
        <v>10</v>
      </c>
      <c r="C17" s="2">
        <v>25</v>
      </c>
      <c r="D17" t="s">
        <v>35</v>
      </c>
      <c r="E17">
        <v>2</v>
      </c>
      <c r="F17">
        <v>85</v>
      </c>
      <c r="G17">
        <v>4</v>
      </c>
      <c r="H17" t="s">
        <v>145</v>
      </c>
    </row>
    <row r="18" spans="1:8" x14ac:dyDescent="0.3">
      <c r="A18" t="s">
        <v>31</v>
      </c>
      <c r="B18" s="2">
        <v>25</v>
      </c>
      <c r="C18" s="2">
        <v>999</v>
      </c>
      <c r="D18" t="s">
        <v>36</v>
      </c>
      <c r="E18">
        <v>1</v>
      </c>
      <c r="F18">
        <v>80</v>
      </c>
      <c r="G18">
        <v>5</v>
      </c>
      <c r="H18" t="s">
        <v>145</v>
      </c>
    </row>
    <row r="19" spans="1:8" x14ac:dyDescent="0.3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</row>
    <row r="20" spans="1:8" x14ac:dyDescent="0.3">
      <c r="A20" t="s">
        <v>19</v>
      </c>
      <c r="B20" s="2">
        <v>0</v>
      </c>
      <c r="C20" s="2">
        <v>5</v>
      </c>
      <c r="D20" t="s">
        <v>37</v>
      </c>
      <c r="E20">
        <v>2</v>
      </c>
      <c r="F20">
        <v>85</v>
      </c>
      <c r="G20">
        <v>1</v>
      </c>
      <c r="H20" t="s">
        <v>145</v>
      </c>
    </row>
    <row r="21" spans="1:8" x14ac:dyDescent="0.3">
      <c r="A21" t="s">
        <v>19</v>
      </c>
      <c r="B21" s="2">
        <v>5</v>
      </c>
      <c r="C21" s="2">
        <v>15</v>
      </c>
      <c r="D21" t="s">
        <v>38</v>
      </c>
      <c r="E21">
        <v>3</v>
      </c>
      <c r="F21">
        <v>90</v>
      </c>
      <c r="G21">
        <v>2</v>
      </c>
      <c r="H21" t="s">
        <v>145</v>
      </c>
    </row>
    <row r="22" spans="1:8" x14ac:dyDescent="0.3">
      <c r="A22" t="s">
        <v>19</v>
      </c>
      <c r="B22" s="2">
        <v>15</v>
      </c>
      <c r="C22" s="2">
        <v>30</v>
      </c>
      <c r="D22" t="s">
        <v>39</v>
      </c>
      <c r="E22">
        <v>4</v>
      </c>
      <c r="F22">
        <v>95</v>
      </c>
      <c r="G22">
        <v>3</v>
      </c>
      <c r="H22" t="s">
        <v>145</v>
      </c>
    </row>
    <row r="23" spans="1:8" x14ac:dyDescent="0.3">
      <c r="A23" t="s">
        <v>19</v>
      </c>
      <c r="B23" s="2">
        <v>20</v>
      </c>
      <c r="C23" s="2">
        <v>999</v>
      </c>
      <c r="D23" t="s">
        <v>40</v>
      </c>
      <c r="E23">
        <v>5</v>
      </c>
      <c r="F23">
        <v>100</v>
      </c>
      <c r="G23">
        <v>4</v>
      </c>
      <c r="H23" t="s">
        <v>145</v>
      </c>
    </row>
    <row r="24" spans="1:8" x14ac:dyDescent="0.3">
      <c r="A24" t="s">
        <v>41</v>
      </c>
      <c r="B24" t="s">
        <v>41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</row>
    <row r="25" spans="1:8" x14ac:dyDescent="0.3">
      <c r="A25" t="s">
        <v>47</v>
      </c>
      <c r="B25" s="2">
        <v>0</v>
      </c>
      <c r="C25" s="2">
        <v>2</v>
      </c>
      <c r="D25" t="s">
        <v>42</v>
      </c>
      <c r="E25">
        <v>5</v>
      </c>
      <c r="F25">
        <v>100</v>
      </c>
      <c r="G25">
        <v>1</v>
      </c>
      <c r="H25" t="s">
        <v>145</v>
      </c>
    </row>
    <row r="26" spans="1:8" x14ac:dyDescent="0.3">
      <c r="A26" t="s">
        <v>47</v>
      </c>
      <c r="B26" s="2">
        <v>2</v>
      </c>
      <c r="C26" s="2">
        <v>5</v>
      </c>
      <c r="D26" t="s">
        <v>43</v>
      </c>
      <c r="E26">
        <v>4</v>
      </c>
      <c r="F26">
        <v>90</v>
      </c>
      <c r="G26">
        <v>2</v>
      </c>
      <c r="H26" t="s">
        <v>145</v>
      </c>
    </row>
    <row r="27" spans="1:8" x14ac:dyDescent="0.3">
      <c r="A27" t="s">
        <v>47</v>
      </c>
      <c r="B27" s="2">
        <v>5</v>
      </c>
      <c r="C27" s="2">
        <v>10</v>
      </c>
      <c r="D27" t="s">
        <v>44</v>
      </c>
      <c r="E27">
        <v>3</v>
      </c>
      <c r="F27">
        <v>80</v>
      </c>
      <c r="G27">
        <v>3</v>
      </c>
      <c r="H27" t="s">
        <v>145</v>
      </c>
    </row>
    <row r="28" spans="1:8" x14ac:dyDescent="0.3">
      <c r="A28" t="s">
        <v>47</v>
      </c>
      <c r="B28" s="2">
        <v>10</v>
      </c>
      <c r="C28" s="2">
        <v>15</v>
      </c>
      <c r="D28" t="s">
        <v>45</v>
      </c>
      <c r="E28">
        <v>2</v>
      </c>
      <c r="F28">
        <v>70</v>
      </c>
      <c r="G28">
        <v>4</v>
      </c>
      <c r="H28" t="s">
        <v>145</v>
      </c>
    </row>
    <row r="29" spans="1:8" x14ac:dyDescent="0.3">
      <c r="A29" t="s">
        <v>47</v>
      </c>
      <c r="B29" s="2">
        <v>15</v>
      </c>
      <c r="C29" s="2">
        <v>999</v>
      </c>
      <c r="D29" t="s">
        <v>46</v>
      </c>
      <c r="E29">
        <v>1</v>
      </c>
      <c r="F29">
        <v>60</v>
      </c>
      <c r="G29">
        <v>5</v>
      </c>
      <c r="H29" t="s">
        <v>145</v>
      </c>
    </row>
    <row r="30" spans="1:8" x14ac:dyDescent="0.3">
      <c r="A30" t="s">
        <v>26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</row>
    <row r="31" spans="1:8" x14ac:dyDescent="0.3">
      <c r="A31" t="s">
        <v>22</v>
      </c>
      <c r="B31" s="2">
        <v>0.01</v>
      </c>
      <c r="C31" s="2">
        <v>1</v>
      </c>
      <c r="D31" t="s">
        <v>50</v>
      </c>
      <c r="E31">
        <v>5</v>
      </c>
      <c r="F31">
        <v>100</v>
      </c>
      <c r="G31">
        <v>1</v>
      </c>
      <c r="H31" t="s">
        <v>145</v>
      </c>
    </row>
    <row r="32" spans="1:8" x14ac:dyDescent="0.3">
      <c r="A32" t="s">
        <v>22</v>
      </c>
      <c r="B32" s="2">
        <v>1</v>
      </c>
      <c r="C32" s="2">
        <v>3</v>
      </c>
      <c r="D32" t="s">
        <v>51</v>
      </c>
      <c r="E32">
        <v>4</v>
      </c>
      <c r="F32">
        <v>95</v>
      </c>
      <c r="G32">
        <v>2</v>
      </c>
      <c r="H32" t="s">
        <v>145</v>
      </c>
    </row>
    <row r="33" spans="1:8" x14ac:dyDescent="0.3">
      <c r="A33" t="s">
        <v>22</v>
      </c>
      <c r="B33" s="2">
        <v>3</v>
      </c>
      <c r="C33" s="2">
        <v>15</v>
      </c>
      <c r="D33" t="s">
        <v>52</v>
      </c>
      <c r="E33">
        <v>3</v>
      </c>
      <c r="F33">
        <v>90</v>
      </c>
      <c r="G33">
        <v>3</v>
      </c>
      <c r="H33" t="s">
        <v>145</v>
      </c>
    </row>
    <row r="34" spans="1:8" x14ac:dyDescent="0.3">
      <c r="A34" t="s">
        <v>22</v>
      </c>
      <c r="B34" s="2">
        <v>15</v>
      </c>
      <c r="C34" s="2">
        <v>50</v>
      </c>
      <c r="D34" t="s">
        <v>48</v>
      </c>
      <c r="E34">
        <v>2</v>
      </c>
      <c r="F34">
        <v>85</v>
      </c>
      <c r="G34">
        <v>4</v>
      </c>
      <c r="H34" t="s">
        <v>145</v>
      </c>
    </row>
    <row r="35" spans="1:8" x14ac:dyDescent="0.3">
      <c r="A35" t="s">
        <v>22</v>
      </c>
      <c r="B35" s="2">
        <v>50</v>
      </c>
      <c r="C35" s="2">
        <v>999</v>
      </c>
      <c r="D35" t="s">
        <v>49</v>
      </c>
      <c r="E35">
        <v>1</v>
      </c>
      <c r="F35">
        <v>80</v>
      </c>
      <c r="G35">
        <v>5</v>
      </c>
      <c r="H35" t="s">
        <v>145</v>
      </c>
    </row>
    <row r="36" spans="1:8" x14ac:dyDescent="0.3">
      <c r="A36" t="s">
        <v>53</v>
      </c>
      <c r="B36" t="s">
        <v>53</v>
      </c>
      <c r="C36" t="s">
        <v>53</v>
      </c>
      <c r="D36" t="s">
        <v>53</v>
      </c>
      <c r="E36" t="s">
        <v>53</v>
      </c>
      <c r="F36" t="s">
        <v>53</v>
      </c>
      <c r="G36" t="s">
        <v>53</v>
      </c>
      <c r="H36" t="s">
        <v>25</v>
      </c>
    </row>
    <row r="37" spans="1:8" x14ac:dyDescent="0.3">
      <c r="A37" t="s">
        <v>23</v>
      </c>
      <c r="B37" s="2">
        <v>0</v>
      </c>
      <c r="C37" s="2">
        <v>0</v>
      </c>
      <c r="D37" t="s">
        <v>54</v>
      </c>
      <c r="E37">
        <v>5</v>
      </c>
      <c r="F37">
        <v>100</v>
      </c>
      <c r="G37">
        <v>1</v>
      </c>
      <c r="H37" t="s">
        <v>145</v>
      </c>
    </row>
    <row r="38" spans="1:8" x14ac:dyDescent="0.3">
      <c r="A38" t="s">
        <v>23</v>
      </c>
      <c r="B38" s="2">
        <v>100</v>
      </c>
      <c r="C38" s="2">
        <v>150</v>
      </c>
      <c r="D38" t="s">
        <v>55</v>
      </c>
      <c r="E38">
        <v>4</v>
      </c>
      <c r="F38">
        <v>90</v>
      </c>
      <c r="G38">
        <v>2</v>
      </c>
      <c r="H38" t="s">
        <v>145</v>
      </c>
    </row>
    <row r="39" spans="1:8" x14ac:dyDescent="0.3">
      <c r="A39" t="s">
        <v>23</v>
      </c>
      <c r="B39" s="2">
        <v>50</v>
      </c>
      <c r="C39" s="2">
        <v>100</v>
      </c>
      <c r="D39" t="s">
        <v>56</v>
      </c>
      <c r="E39">
        <v>3</v>
      </c>
      <c r="F39">
        <v>80</v>
      </c>
      <c r="G39">
        <v>3</v>
      </c>
      <c r="H39" t="s">
        <v>145</v>
      </c>
    </row>
    <row r="40" spans="1:8" x14ac:dyDescent="0.3">
      <c r="A40" t="s">
        <v>23</v>
      </c>
      <c r="B40" s="2">
        <v>0</v>
      </c>
      <c r="C40" s="2">
        <v>50</v>
      </c>
      <c r="D40" t="s">
        <v>57</v>
      </c>
      <c r="E40">
        <v>2</v>
      </c>
      <c r="F40">
        <v>70</v>
      </c>
      <c r="G40">
        <v>4</v>
      </c>
      <c r="H40" t="s">
        <v>145</v>
      </c>
    </row>
    <row r="41" spans="1:8" x14ac:dyDescent="0.3">
      <c r="A41" t="s">
        <v>53</v>
      </c>
      <c r="B41" t="s">
        <v>53</v>
      </c>
      <c r="C41" t="s">
        <v>53</v>
      </c>
      <c r="D41" t="s">
        <v>53</v>
      </c>
      <c r="E41" t="s">
        <v>53</v>
      </c>
      <c r="F41" t="s">
        <v>53</v>
      </c>
      <c r="G41" t="s">
        <v>53</v>
      </c>
      <c r="H41" t="s">
        <v>25</v>
      </c>
    </row>
    <row r="42" spans="1:8" x14ac:dyDescent="0.3">
      <c r="A42" t="s">
        <v>60</v>
      </c>
      <c r="B42" s="2">
        <v>3</v>
      </c>
      <c r="C42" s="2">
        <v>1.5</v>
      </c>
      <c r="D42" t="s">
        <v>58</v>
      </c>
      <c r="E42">
        <v>5</v>
      </c>
      <c r="F42">
        <v>100</v>
      </c>
      <c r="G42">
        <v>1</v>
      </c>
      <c r="H42" t="s">
        <v>145</v>
      </c>
    </row>
    <row r="43" spans="1:8" x14ac:dyDescent="0.3">
      <c r="A43" t="s">
        <v>60</v>
      </c>
      <c r="B43" s="2">
        <v>1.5</v>
      </c>
      <c r="C43" s="2">
        <v>0.75</v>
      </c>
      <c r="D43" t="s">
        <v>59</v>
      </c>
      <c r="E43">
        <v>4</v>
      </c>
      <c r="F43">
        <v>95</v>
      </c>
      <c r="G43">
        <v>2</v>
      </c>
      <c r="H43" t="s">
        <v>145</v>
      </c>
    </row>
    <row r="44" spans="1:8" x14ac:dyDescent="0.3">
      <c r="A44" t="s">
        <v>60</v>
      </c>
      <c r="B44" s="2">
        <v>0.75</v>
      </c>
      <c r="C44" s="2">
        <v>0</v>
      </c>
      <c r="D44" t="s">
        <v>9</v>
      </c>
      <c r="E44">
        <v>3</v>
      </c>
      <c r="F44">
        <v>90</v>
      </c>
      <c r="G44">
        <v>3</v>
      </c>
      <c r="H44" t="s">
        <v>145</v>
      </c>
    </row>
    <row r="45" spans="1:8" x14ac:dyDescent="0.3">
      <c r="A45" t="s">
        <v>26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41</v>
      </c>
    </row>
    <row r="46" spans="1:8" x14ac:dyDescent="0.3">
      <c r="A46" t="s">
        <v>21</v>
      </c>
      <c r="B46" s="2">
        <v>6.6</v>
      </c>
      <c r="C46" s="2">
        <v>7.3</v>
      </c>
      <c r="D46" t="s">
        <v>61</v>
      </c>
      <c r="E46">
        <v>5</v>
      </c>
      <c r="F46">
        <v>100</v>
      </c>
      <c r="G46">
        <v>1</v>
      </c>
      <c r="H46" t="s">
        <v>145</v>
      </c>
    </row>
    <row r="47" spans="1:8" x14ac:dyDescent="0.3">
      <c r="A47" t="s">
        <v>21</v>
      </c>
      <c r="B47" s="2">
        <v>7.4</v>
      </c>
      <c r="C47" s="2">
        <v>7.8</v>
      </c>
      <c r="D47" t="s">
        <v>62</v>
      </c>
      <c r="E47">
        <v>4</v>
      </c>
      <c r="F47">
        <v>95</v>
      </c>
      <c r="G47">
        <v>2</v>
      </c>
      <c r="H47" t="s">
        <v>145</v>
      </c>
    </row>
    <row r="48" spans="1:8" x14ac:dyDescent="0.3">
      <c r="A48" t="s">
        <v>21</v>
      </c>
      <c r="B48" s="2">
        <v>7.9</v>
      </c>
      <c r="C48" s="2">
        <v>8.4</v>
      </c>
      <c r="D48" t="s">
        <v>63</v>
      </c>
      <c r="E48">
        <v>3</v>
      </c>
      <c r="F48">
        <v>90</v>
      </c>
      <c r="G48">
        <v>3</v>
      </c>
      <c r="H48" t="s">
        <v>145</v>
      </c>
    </row>
    <row r="49" spans="1:14" x14ac:dyDescent="0.3">
      <c r="A49" t="s">
        <v>21</v>
      </c>
      <c r="B49" s="2">
        <v>8.5</v>
      </c>
      <c r="C49" s="2">
        <v>9</v>
      </c>
      <c r="D49" t="s">
        <v>64</v>
      </c>
      <c r="E49">
        <v>2</v>
      </c>
      <c r="F49">
        <v>85</v>
      </c>
      <c r="G49">
        <v>4</v>
      </c>
      <c r="H49" t="s">
        <v>145</v>
      </c>
    </row>
    <row r="50" spans="1:14" x14ac:dyDescent="0.3">
      <c r="A50" t="s">
        <v>26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25</v>
      </c>
    </row>
    <row r="51" spans="1:14" x14ac:dyDescent="0.3">
      <c r="A51" t="s">
        <v>18</v>
      </c>
      <c r="D51" t="s">
        <v>65</v>
      </c>
      <c r="E51">
        <v>5</v>
      </c>
      <c r="F51">
        <v>100</v>
      </c>
      <c r="G51">
        <v>1</v>
      </c>
      <c r="H51" t="s">
        <v>3</v>
      </c>
    </row>
    <row r="52" spans="1:14" x14ac:dyDescent="0.3">
      <c r="A52" t="s">
        <v>18</v>
      </c>
      <c r="D52" t="s">
        <v>66</v>
      </c>
      <c r="E52">
        <v>5</v>
      </c>
      <c r="F52">
        <v>100</v>
      </c>
      <c r="G52">
        <v>2</v>
      </c>
      <c r="H52" t="s">
        <v>3</v>
      </c>
    </row>
    <row r="53" spans="1:14" x14ac:dyDescent="0.3">
      <c r="A53" t="s">
        <v>18</v>
      </c>
      <c r="D53" t="s">
        <v>67</v>
      </c>
      <c r="E53">
        <v>5</v>
      </c>
      <c r="F53">
        <v>100</v>
      </c>
      <c r="G53">
        <v>3</v>
      </c>
      <c r="H53" t="s">
        <v>3</v>
      </c>
    </row>
    <row r="54" spans="1:14" x14ac:dyDescent="0.3">
      <c r="A54" t="s">
        <v>18</v>
      </c>
      <c r="D54" t="s">
        <v>68</v>
      </c>
      <c r="E54">
        <v>4</v>
      </c>
      <c r="F54">
        <v>95</v>
      </c>
      <c r="G54">
        <v>4</v>
      </c>
      <c r="H54" t="s">
        <v>3</v>
      </c>
    </row>
    <row r="55" spans="1:14" x14ac:dyDescent="0.3">
      <c r="A55" t="s">
        <v>18</v>
      </c>
      <c r="D55" t="s">
        <v>69</v>
      </c>
      <c r="E55">
        <v>4</v>
      </c>
      <c r="F55">
        <v>95</v>
      </c>
      <c r="G55">
        <v>5</v>
      </c>
      <c r="H55" t="s">
        <v>3</v>
      </c>
    </row>
    <row r="56" spans="1:14" x14ac:dyDescent="0.3">
      <c r="A56" t="s">
        <v>18</v>
      </c>
      <c r="D56" t="s">
        <v>73</v>
      </c>
      <c r="E56">
        <v>3</v>
      </c>
      <c r="F56">
        <v>90</v>
      </c>
      <c r="G56">
        <v>6</v>
      </c>
      <c r="H56" t="s">
        <v>3</v>
      </c>
    </row>
    <row r="57" spans="1:14" x14ac:dyDescent="0.3">
      <c r="A57" t="s">
        <v>18</v>
      </c>
      <c r="D57" t="s">
        <v>70</v>
      </c>
      <c r="E57">
        <v>3</v>
      </c>
      <c r="F57">
        <v>90</v>
      </c>
      <c r="G57">
        <v>7</v>
      </c>
      <c r="H57" t="s">
        <v>3</v>
      </c>
    </row>
    <row r="58" spans="1:14" x14ac:dyDescent="0.3">
      <c r="A58" t="s">
        <v>18</v>
      </c>
      <c r="D58" t="s">
        <v>71</v>
      </c>
      <c r="E58">
        <v>2</v>
      </c>
      <c r="F58">
        <v>85</v>
      </c>
      <c r="G58">
        <v>8</v>
      </c>
      <c r="H58" t="s">
        <v>3</v>
      </c>
    </row>
    <row r="59" spans="1:14" x14ac:dyDescent="0.3">
      <c r="A59" t="s">
        <v>18</v>
      </c>
      <c r="D59" t="s">
        <v>72</v>
      </c>
      <c r="E59">
        <v>2</v>
      </c>
      <c r="F59">
        <v>85</v>
      </c>
      <c r="G59">
        <v>9</v>
      </c>
      <c r="H59" t="s">
        <v>3</v>
      </c>
    </row>
    <row r="60" spans="1:14" x14ac:dyDescent="0.3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41</v>
      </c>
      <c r="N60" s="9"/>
    </row>
    <row r="61" spans="1:14" ht="18" x14ac:dyDescent="0.35">
      <c r="A61" s="5" t="s">
        <v>86</v>
      </c>
      <c r="B61">
        <v>0</v>
      </c>
      <c r="C61">
        <v>0</v>
      </c>
      <c r="D61" t="s">
        <v>87</v>
      </c>
      <c r="E61">
        <v>5</v>
      </c>
      <c r="F61">
        <v>100</v>
      </c>
      <c r="G61">
        <v>1</v>
      </c>
      <c r="H61" t="s">
        <v>145</v>
      </c>
    </row>
    <row r="62" spans="1:14" ht="18" x14ac:dyDescent="0.35">
      <c r="A62" s="5" t="s">
        <v>86</v>
      </c>
      <c r="B62">
        <v>0</v>
      </c>
      <c r="C62">
        <v>25</v>
      </c>
      <c r="D62" t="s">
        <v>88</v>
      </c>
      <c r="E62">
        <v>4</v>
      </c>
      <c r="F62">
        <v>90</v>
      </c>
      <c r="G62">
        <v>2</v>
      </c>
      <c r="H62" t="s">
        <v>145</v>
      </c>
    </row>
    <row r="63" spans="1:14" ht="18" x14ac:dyDescent="0.35">
      <c r="A63" s="5" t="s">
        <v>86</v>
      </c>
      <c r="B63">
        <v>25</v>
      </c>
      <c r="C63">
        <v>75</v>
      </c>
      <c r="D63" t="s">
        <v>89</v>
      </c>
      <c r="E63">
        <v>3</v>
      </c>
      <c r="F63">
        <v>80</v>
      </c>
      <c r="G63">
        <v>3</v>
      </c>
      <c r="H63" t="s">
        <v>145</v>
      </c>
    </row>
    <row r="64" spans="1:14" ht="18" x14ac:dyDescent="0.35">
      <c r="A64" s="5" t="s">
        <v>86</v>
      </c>
      <c r="B64">
        <v>75</v>
      </c>
      <c r="C64">
        <v>100</v>
      </c>
      <c r="D64" t="s">
        <v>90</v>
      </c>
      <c r="E64">
        <v>2</v>
      </c>
      <c r="F64">
        <v>70</v>
      </c>
      <c r="G64">
        <v>4</v>
      </c>
      <c r="H64" t="s">
        <v>145</v>
      </c>
    </row>
    <row r="65" spans="1:8" ht="18" x14ac:dyDescent="0.35">
      <c r="A65" s="5" t="s">
        <v>86</v>
      </c>
      <c r="B65">
        <v>100</v>
      </c>
      <c r="C65">
        <v>999</v>
      </c>
      <c r="D65" t="s">
        <v>91</v>
      </c>
      <c r="E65">
        <v>1</v>
      </c>
      <c r="F65">
        <v>60</v>
      </c>
      <c r="G65">
        <v>5</v>
      </c>
      <c r="H65" t="s">
        <v>145</v>
      </c>
    </row>
    <row r="66" spans="1:8" ht="18" x14ac:dyDescent="0.35">
      <c r="A66" s="5" t="s">
        <v>26</v>
      </c>
      <c r="B66" s="5" t="s">
        <v>26</v>
      </c>
      <c r="C66" s="5" t="s">
        <v>26</v>
      </c>
      <c r="D66" s="5" t="s">
        <v>26</v>
      </c>
      <c r="E66" s="5" t="s">
        <v>26</v>
      </c>
      <c r="F66" s="5" t="s">
        <v>26</v>
      </c>
      <c r="G66" s="5" t="s">
        <v>26</v>
      </c>
      <c r="H66" s="5" t="s">
        <v>146</v>
      </c>
    </row>
    <row r="67" spans="1:8" x14ac:dyDescent="0.3">
      <c r="A67" t="s">
        <v>92</v>
      </c>
      <c r="D67" t="s">
        <v>93</v>
      </c>
      <c r="E67">
        <v>5</v>
      </c>
      <c r="F67">
        <v>100</v>
      </c>
      <c r="G67">
        <v>1</v>
      </c>
      <c r="H67" t="s">
        <v>3</v>
      </c>
    </row>
    <row r="68" spans="1:8" x14ac:dyDescent="0.3">
      <c r="A68" t="s">
        <v>92</v>
      </c>
      <c r="D68" t="s">
        <v>98</v>
      </c>
      <c r="E68">
        <v>4</v>
      </c>
      <c r="F68">
        <v>90</v>
      </c>
      <c r="G68">
        <v>2</v>
      </c>
      <c r="H68" t="s">
        <v>3</v>
      </c>
    </row>
    <row r="69" spans="1:8" x14ac:dyDescent="0.3">
      <c r="A69" t="s">
        <v>92</v>
      </c>
      <c r="D69" t="s">
        <v>99</v>
      </c>
      <c r="E69">
        <v>3</v>
      </c>
      <c r="F69">
        <v>80</v>
      </c>
      <c r="G69">
        <v>3</v>
      </c>
      <c r="H69" t="s">
        <v>3</v>
      </c>
    </row>
    <row r="70" spans="1:8" x14ac:dyDescent="0.3">
      <c r="A70" t="s">
        <v>92</v>
      </c>
      <c r="D70" t="s">
        <v>100</v>
      </c>
      <c r="E70">
        <v>2</v>
      </c>
      <c r="F70">
        <v>70</v>
      </c>
      <c r="G70">
        <v>4</v>
      </c>
      <c r="H70" t="s">
        <v>3</v>
      </c>
    </row>
    <row r="71" spans="1:8" x14ac:dyDescent="0.3">
      <c r="A71" t="s">
        <v>92</v>
      </c>
      <c r="D71" t="s">
        <v>101</v>
      </c>
      <c r="E71">
        <v>1</v>
      </c>
      <c r="F71">
        <v>60</v>
      </c>
      <c r="G71">
        <v>5</v>
      </c>
      <c r="H71" t="s">
        <v>3</v>
      </c>
    </row>
    <row r="72" spans="1:8" x14ac:dyDescent="0.3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26</v>
      </c>
    </row>
    <row r="73" spans="1:8" x14ac:dyDescent="0.3">
      <c r="A73" t="s">
        <v>94</v>
      </c>
      <c r="B73">
        <v>0.6</v>
      </c>
      <c r="C73">
        <v>1.1000000000000001</v>
      </c>
      <c r="D73" t="s">
        <v>10</v>
      </c>
      <c r="E73">
        <v>5</v>
      </c>
      <c r="F73">
        <v>100</v>
      </c>
      <c r="G73">
        <v>1</v>
      </c>
      <c r="H73" t="s">
        <v>145</v>
      </c>
    </row>
    <row r="74" spans="1:8" x14ac:dyDescent="0.3">
      <c r="A74" t="s">
        <v>94</v>
      </c>
      <c r="B74">
        <v>0.4</v>
      </c>
      <c r="C74">
        <v>0.6</v>
      </c>
      <c r="D74" t="s">
        <v>95</v>
      </c>
      <c r="E74">
        <v>4</v>
      </c>
      <c r="F74">
        <v>95</v>
      </c>
      <c r="G74">
        <v>2</v>
      </c>
      <c r="H74" t="s">
        <v>145</v>
      </c>
    </row>
    <row r="75" spans="1:8" x14ac:dyDescent="0.3">
      <c r="A75" t="s">
        <v>94</v>
      </c>
      <c r="B75">
        <v>0.2</v>
      </c>
      <c r="C75">
        <v>0.4</v>
      </c>
      <c r="D75" t="s">
        <v>96</v>
      </c>
      <c r="E75">
        <v>3</v>
      </c>
      <c r="F75">
        <v>90</v>
      </c>
      <c r="G75">
        <v>3</v>
      </c>
      <c r="H75" t="s">
        <v>145</v>
      </c>
    </row>
    <row r="76" spans="1:8" x14ac:dyDescent="0.3">
      <c r="A76" t="s">
        <v>94</v>
      </c>
      <c r="B76">
        <v>0</v>
      </c>
      <c r="C76">
        <v>0.2</v>
      </c>
      <c r="D76" t="s">
        <v>97</v>
      </c>
      <c r="E76">
        <v>2</v>
      </c>
      <c r="F76">
        <v>85</v>
      </c>
      <c r="G76">
        <v>4</v>
      </c>
      <c r="H76" t="s">
        <v>145</v>
      </c>
    </row>
    <row r="77" spans="1:8" x14ac:dyDescent="0.3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53</v>
      </c>
    </row>
    <row r="78" spans="1:8" x14ac:dyDescent="0.3">
      <c r="A78" t="s">
        <v>102</v>
      </c>
      <c r="B78">
        <v>1000</v>
      </c>
      <c r="C78">
        <v>2000</v>
      </c>
      <c r="D78" t="s">
        <v>10</v>
      </c>
      <c r="E78">
        <v>5</v>
      </c>
      <c r="F78">
        <v>100</v>
      </c>
      <c r="G78">
        <v>1</v>
      </c>
      <c r="H78" t="s">
        <v>145</v>
      </c>
    </row>
    <row r="79" spans="1:8" x14ac:dyDescent="0.3">
      <c r="A79" t="s">
        <v>102</v>
      </c>
      <c r="B79">
        <v>600</v>
      </c>
      <c r="C79">
        <v>1000</v>
      </c>
      <c r="D79" t="s">
        <v>11</v>
      </c>
      <c r="E79">
        <v>4</v>
      </c>
      <c r="F79">
        <v>95</v>
      </c>
      <c r="G79">
        <v>2</v>
      </c>
      <c r="H79" t="s">
        <v>145</v>
      </c>
    </row>
    <row r="80" spans="1:8" x14ac:dyDescent="0.3">
      <c r="A80" t="s">
        <v>102</v>
      </c>
      <c r="B80">
        <v>300</v>
      </c>
      <c r="C80">
        <v>600</v>
      </c>
      <c r="D80" t="s">
        <v>6</v>
      </c>
      <c r="E80">
        <v>3</v>
      </c>
      <c r="F80">
        <v>90</v>
      </c>
      <c r="G80">
        <v>3</v>
      </c>
      <c r="H80" t="s">
        <v>145</v>
      </c>
    </row>
    <row r="81" spans="1:18" x14ac:dyDescent="0.3">
      <c r="A81" t="s">
        <v>102</v>
      </c>
      <c r="B81">
        <v>100</v>
      </c>
      <c r="C81">
        <v>300</v>
      </c>
      <c r="D81" t="s">
        <v>9</v>
      </c>
      <c r="E81">
        <v>2</v>
      </c>
      <c r="F81">
        <v>85</v>
      </c>
      <c r="G81">
        <v>4</v>
      </c>
      <c r="H81" t="s">
        <v>145</v>
      </c>
    </row>
    <row r="82" spans="1:18" x14ac:dyDescent="0.3">
      <c r="A82" t="s">
        <v>102</v>
      </c>
      <c r="B82">
        <v>0</v>
      </c>
      <c r="C82">
        <v>100</v>
      </c>
      <c r="D82" t="s">
        <v>8</v>
      </c>
      <c r="E82">
        <v>1</v>
      </c>
      <c r="F82">
        <v>80</v>
      </c>
      <c r="G82">
        <v>5</v>
      </c>
      <c r="H82" t="s">
        <v>145</v>
      </c>
    </row>
    <row r="83" spans="1:18" x14ac:dyDescent="0.3">
      <c r="A83" t="s">
        <v>53</v>
      </c>
      <c r="B83" t="s">
        <v>53</v>
      </c>
      <c r="C83" t="s">
        <v>53</v>
      </c>
      <c r="D83" t="s">
        <v>53</v>
      </c>
      <c r="E83" t="s">
        <v>53</v>
      </c>
      <c r="F83" t="s">
        <v>53</v>
      </c>
      <c r="G83" t="s">
        <v>53</v>
      </c>
      <c r="H83" t="s">
        <v>26</v>
      </c>
      <c r="N83" s="10"/>
      <c r="O83" s="10"/>
      <c r="P83" s="10"/>
      <c r="Q83" s="10"/>
      <c r="R83" s="10"/>
    </row>
    <row r="84" spans="1:18" x14ac:dyDescent="0.3">
      <c r="A84" t="s">
        <v>103</v>
      </c>
      <c r="B84">
        <v>0</v>
      </c>
      <c r="C84">
        <v>60</v>
      </c>
      <c r="D84" t="s">
        <v>8</v>
      </c>
      <c r="E84">
        <v>5</v>
      </c>
      <c r="F84">
        <v>100</v>
      </c>
      <c r="G84">
        <v>1</v>
      </c>
      <c r="H84" t="s">
        <v>145</v>
      </c>
      <c r="N84" s="10"/>
      <c r="O84" s="10"/>
      <c r="P84" s="10"/>
      <c r="Q84" s="10"/>
      <c r="R84" s="10"/>
    </row>
    <row r="85" spans="1:18" x14ac:dyDescent="0.3">
      <c r="A85" t="s">
        <v>103</v>
      </c>
      <c r="B85">
        <v>60</v>
      </c>
      <c r="C85">
        <v>120</v>
      </c>
      <c r="D85" t="s">
        <v>104</v>
      </c>
      <c r="E85">
        <v>4</v>
      </c>
      <c r="F85">
        <v>95</v>
      </c>
      <c r="G85">
        <v>2</v>
      </c>
      <c r="H85" t="s">
        <v>145</v>
      </c>
      <c r="N85" s="10"/>
      <c r="O85" s="10"/>
      <c r="P85" s="10"/>
      <c r="Q85" s="10"/>
      <c r="R85" s="10"/>
    </row>
    <row r="86" spans="1:18" x14ac:dyDescent="0.3">
      <c r="A86" t="s">
        <v>103</v>
      </c>
      <c r="B86">
        <v>120</v>
      </c>
      <c r="C86">
        <v>180</v>
      </c>
      <c r="D86" t="s">
        <v>6</v>
      </c>
      <c r="E86">
        <v>3</v>
      </c>
      <c r="F86">
        <v>90</v>
      </c>
      <c r="G86">
        <v>3</v>
      </c>
      <c r="H86" t="s">
        <v>145</v>
      </c>
      <c r="N86" s="10"/>
      <c r="O86" s="10"/>
      <c r="P86" s="10"/>
      <c r="Q86" s="10"/>
      <c r="R86" s="10"/>
    </row>
    <row r="87" spans="1:18" x14ac:dyDescent="0.3">
      <c r="A87" t="s">
        <v>103</v>
      </c>
      <c r="B87">
        <v>180</v>
      </c>
      <c r="C87">
        <v>240</v>
      </c>
      <c r="D87" t="s">
        <v>11</v>
      </c>
      <c r="E87">
        <v>2</v>
      </c>
      <c r="F87">
        <v>85</v>
      </c>
      <c r="G87">
        <v>4</v>
      </c>
      <c r="H87" t="s">
        <v>145</v>
      </c>
      <c r="N87" s="10"/>
      <c r="O87" s="10"/>
      <c r="P87" s="10"/>
      <c r="Q87" s="10"/>
      <c r="R87" s="10"/>
    </row>
    <row r="88" spans="1:18" x14ac:dyDescent="0.3">
      <c r="A88" t="s">
        <v>103</v>
      </c>
      <c r="B88">
        <v>240</v>
      </c>
      <c r="C88">
        <v>500</v>
      </c>
      <c r="D88" t="s">
        <v>10</v>
      </c>
      <c r="E88">
        <v>1</v>
      </c>
      <c r="F88">
        <v>80</v>
      </c>
      <c r="G88">
        <v>5</v>
      </c>
      <c r="H88" t="s">
        <v>145</v>
      </c>
    </row>
    <row r="89" spans="1:18" x14ac:dyDescent="0.3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26</v>
      </c>
    </row>
    <row r="90" spans="1:18" x14ac:dyDescent="0.3">
      <c r="A90" t="s">
        <v>105</v>
      </c>
      <c r="B90">
        <v>0</v>
      </c>
      <c r="C90">
        <v>2</v>
      </c>
      <c r="D90" t="s">
        <v>106</v>
      </c>
      <c r="E90">
        <v>5</v>
      </c>
      <c r="F90">
        <v>100</v>
      </c>
      <c r="G90">
        <v>1</v>
      </c>
      <c r="H90" t="s">
        <v>145</v>
      </c>
    </row>
    <row r="91" spans="1:18" x14ac:dyDescent="0.3">
      <c r="A91" t="s">
        <v>105</v>
      </c>
      <c r="B91">
        <v>2</v>
      </c>
      <c r="C91">
        <v>5</v>
      </c>
      <c r="D91" t="s">
        <v>39</v>
      </c>
      <c r="E91">
        <v>4</v>
      </c>
      <c r="F91">
        <v>95</v>
      </c>
      <c r="G91">
        <v>2</v>
      </c>
      <c r="H91" t="s">
        <v>145</v>
      </c>
    </row>
    <row r="92" spans="1:18" x14ac:dyDescent="0.3">
      <c r="A92" t="s">
        <v>105</v>
      </c>
      <c r="B92">
        <v>5</v>
      </c>
      <c r="C92">
        <v>8</v>
      </c>
      <c r="D92" t="s">
        <v>107</v>
      </c>
      <c r="E92">
        <v>3</v>
      </c>
      <c r="F92">
        <v>90</v>
      </c>
      <c r="G92">
        <v>3</v>
      </c>
      <c r="H92" t="s">
        <v>145</v>
      </c>
    </row>
    <row r="93" spans="1:18" x14ac:dyDescent="0.3">
      <c r="A93" t="s">
        <v>105</v>
      </c>
      <c r="B93">
        <v>8</v>
      </c>
      <c r="C93">
        <v>20</v>
      </c>
      <c r="D93" t="s">
        <v>108</v>
      </c>
      <c r="E93">
        <v>2</v>
      </c>
      <c r="F93">
        <v>85</v>
      </c>
      <c r="G93">
        <v>4</v>
      </c>
      <c r="H93" t="s">
        <v>145</v>
      </c>
    </row>
    <row r="94" spans="1:18" x14ac:dyDescent="0.3">
      <c r="A94" t="s">
        <v>53</v>
      </c>
      <c r="B94" t="s">
        <v>53</v>
      </c>
      <c r="C94" t="s">
        <v>53</v>
      </c>
      <c r="D94" t="s">
        <v>53</v>
      </c>
      <c r="E94" t="s">
        <v>53</v>
      </c>
      <c r="F94" t="s">
        <v>53</v>
      </c>
      <c r="G94" t="s">
        <v>53</v>
      </c>
      <c r="H94" t="s">
        <v>25</v>
      </c>
    </row>
    <row r="95" spans="1:18" x14ac:dyDescent="0.3">
      <c r="A95" t="s">
        <v>109</v>
      </c>
      <c r="B95">
        <v>0</v>
      </c>
      <c r="C95">
        <v>15</v>
      </c>
      <c r="D95" t="s">
        <v>9</v>
      </c>
      <c r="E95">
        <v>2</v>
      </c>
      <c r="F95">
        <v>80</v>
      </c>
      <c r="G95">
        <v>1</v>
      </c>
      <c r="H95" t="s">
        <v>145</v>
      </c>
    </row>
    <row r="96" spans="1:18" x14ac:dyDescent="0.3">
      <c r="A96" t="s">
        <v>109</v>
      </c>
      <c r="B96">
        <v>15</v>
      </c>
      <c r="C96">
        <v>25</v>
      </c>
      <c r="D96" t="s">
        <v>6</v>
      </c>
      <c r="E96">
        <v>5</v>
      </c>
      <c r="F96">
        <v>100</v>
      </c>
      <c r="G96">
        <v>2</v>
      </c>
      <c r="H96" t="s">
        <v>145</v>
      </c>
    </row>
    <row r="97" spans="1:8" x14ac:dyDescent="0.3">
      <c r="A97" t="s">
        <v>109</v>
      </c>
      <c r="B97">
        <v>25</v>
      </c>
      <c r="C97">
        <v>40</v>
      </c>
      <c r="D97" t="s">
        <v>11</v>
      </c>
      <c r="E97">
        <v>4</v>
      </c>
      <c r="F97">
        <v>95</v>
      </c>
      <c r="G97">
        <v>3</v>
      </c>
      <c r="H97" t="s">
        <v>145</v>
      </c>
    </row>
    <row r="98" spans="1:8" x14ac:dyDescent="0.3">
      <c r="A98" t="s">
        <v>109</v>
      </c>
      <c r="B98">
        <v>40</v>
      </c>
      <c r="C98">
        <v>60</v>
      </c>
      <c r="D98" t="s">
        <v>10</v>
      </c>
      <c r="E98">
        <v>3</v>
      </c>
      <c r="F98">
        <v>70</v>
      </c>
      <c r="G98">
        <v>4</v>
      </c>
      <c r="H98" t="s">
        <v>145</v>
      </c>
    </row>
    <row r="99" spans="1:8" x14ac:dyDescent="0.3">
      <c r="A99" t="s">
        <v>53</v>
      </c>
      <c r="B99" t="s">
        <v>53</v>
      </c>
      <c r="C99" t="s">
        <v>53</v>
      </c>
      <c r="D99" t="s">
        <v>53</v>
      </c>
      <c r="E99" t="s">
        <v>53</v>
      </c>
      <c r="F99" t="s">
        <v>53</v>
      </c>
      <c r="G99" t="s">
        <v>53</v>
      </c>
      <c r="H99" t="s">
        <v>25</v>
      </c>
    </row>
    <row r="100" spans="1:8" x14ac:dyDescent="0.3">
      <c r="A100" t="s">
        <v>110</v>
      </c>
      <c r="D100" t="s">
        <v>112</v>
      </c>
      <c r="E100">
        <v>5</v>
      </c>
      <c r="F100">
        <v>100</v>
      </c>
      <c r="G100">
        <v>1</v>
      </c>
      <c r="H100" t="s">
        <v>3</v>
      </c>
    </row>
    <row r="101" spans="1:8" x14ac:dyDescent="0.3">
      <c r="A101" t="s">
        <v>110</v>
      </c>
      <c r="D101" t="s">
        <v>111</v>
      </c>
      <c r="E101">
        <v>4</v>
      </c>
      <c r="F101">
        <v>90</v>
      </c>
      <c r="G101">
        <v>2</v>
      </c>
      <c r="H101" t="s">
        <v>3</v>
      </c>
    </row>
    <row r="102" spans="1:8" x14ac:dyDescent="0.3">
      <c r="A102" t="s">
        <v>110</v>
      </c>
      <c r="D102" t="s">
        <v>57</v>
      </c>
      <c r="E102">
        <v>3</v>
      </c>
      <c r="F102">
        <v>80</v>
      </c>
      <c r="G102">
        <v>3</v>
      </c>
      <c r="H102" t="s">
        <v>3</v>
      </c>
    </row>
    <row r="103" spans="1:8" x14ac:dyDescent="0.3">
      <c r="A103" t="s">
        <v>53</v>
      </c>
      <c r="B103" t="s">
        <v>53</v>
      </c>
      <c r="C103" t="s">
        <v>53</v>
      </c>
      <c r="D103" t="s">
        <v>53</v>
      </c>
      <c r="E103" t="s">
        <v>53</v>
      </c>
      <c r="F103" t="s">
        <v>53</v>
      </c>
      <c r="G103" t="s">
        <v>53</v>
      </c>
      <c r="H103" t="s">
        <v>25</v>
      </c>
    </row>
    <row r="104" spans="1:8" x14ac:dyDescent="0.3">
      <c r="A104" t="s">
        <v>113</v>
      </c>
      <c r="D104" t="s">
        <v>114</v>
      </c>
      <c r="E104">
        <v>5</v>
      </c>
      <c r="F104">
        <v>100</v>
      </c>
      <c r="G104">
        <v>1</v>
      </c>
      <c r="H104" t="s">
        <v>3</v>
      </c>
    </row>
    <row r="105" spans="1:8" x14ac:dyDescent="0.3">
      <c r="A105" t="s">
        <v>113</v>
      </c>
      <c r="D105" t="s">
        <v>115</v>
      </c>
      <c r="E105">
        <v>4</v>
      </c>
      <c r="F105">
        <v>90</v>
      </c>
      <c r="G105">
        <v>2</v>
      </c>
      <c r="H105" t="s">
        <v>3</v>
      </c>
    </row>
    <row r="106" spans="1:8" x14ac:dyDescent="0.3">
      <c r="A106" t="s">
        <v>113</v>
      </c>
      <c r="D106" t="s">
        <v>116</v>
      </c>
      <c r="E106">
        <v>3</v>
      </c>
      <c r="F106">
        <v>80</v>
      </c>
      <c r="G106">
        <v>3</v>
      </c>
      <c r="H106" t="s">
        <v>3</v>
      </c>
    </row>
    <row r="107" spans="1:8" x14ac:dyDescent="0.3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</row>
    <row r="108" spans="1:8" x14ac:dyDescent="0.3">
      <c r="A108" t="s">
        <v>117</v>
      </c>
      <c r="D108" t="s">
        <v>118</v>
      </c>
      <c r="E108">
        <v>5</v>
      </c>
      <c r="F108">
        <v>100</v>
      </c>
      <c r="G108">
        <v>1</v>
      </c>
      <c r="H108" t="s">
        <v>3</v>
      </c>
    </row>
    <row r="109" spans="1:8" x14ac:dyDescent="0.3">
      <c r="A109" t="s">
        <v>117</v>
      </c>
      <c r="D109" t="s">
        <v>119</v>
      </c>
      <c r="E109">
        <v>4</v>
      </c>
      <c r="F109">
        <v>90</v>
      </c>
      <c r="G109">
        <v>2</v>
      </c>
      <c r="H109" t="s">
        <v>3</v>
      </c>
    </row>
    <row r="110" spans="1:8" x14ac:dyDescent="0.3">
      <c r="A110" t="s">
        <v>117</v>
      </c>
      <c r="D110" t="s">
        <v>120</v>
      </c>
      <c r="E110">
        <v>3</v>
      </c>
      <c r="F110">
        <v>80</v>
      </c>
      <c r="G110">
        <v>3</v>
      </c>
      <c r="H110" t="s">
        <v>3</v>
      </c>
    </row>
    <row r="111" spans="1:8" x14ac:dyDescent="0.3">
      <c r="A111" t="s">
        <v>53</v>
      </c>
      <c r="B111" t="s">
        <v>53</v>
      </c>
      <c r="C111" t="s">
        <v>53</v>
      </c>
      <c r="D111" t="s">
        <v>53</v>
      </c>
      <c r="E111" t="s">
        <v>53</v>
      </c>
      <c r="F111" t="s">
        <v>53</v>
      </c>
      <c r="G111" t="s">
        <v>53</v>
      </c>
      <c r="H111" t="s">
        <v>53</v>
      </c>
    </row>
    <row r="112" spans="1:8" x14ac:dyDescent="0.3">
      <c r="A112" t="s">
        <v>121</v>
      </c>
      <c r="D112" t="s">
        <v>125</v>
      </c>
      <c r="E112">
        <v>2</v>
      </c>
      <c r="F112">
        <v>80</v>
      </c>
      <c r="G112">
        <v>1</v>
      </c>
      <c r="H112" t="s">
        <v>3</v>
      </c>
    </row>
    <row r="113" spans="1:14" x14ac:dyDescent="0.3">
      <c r="A113" t="s">
        <v>121</v>
      </c>
      <c r="D113" t="s">
        <v>124</v>
      </c>
      <c r="E113">
        <v>3</v>
      </c>
      <c r="F113">
        <v>90</v>
      </c>
      <c r="G113">
        <v>2</v>
      </c>
      <c r="H113" t="s">
        <v>3</v>
      </c>
    </row>
    <row r="114" spans="1:14" x14ac:dyDescent="0.3">
      <c r="A114" t="s">
        <v>121</v>
      </c>
      <c r="D114" t="s">
        <v>123</v>
      </c>
      <c r="E114">
        <v>4</v>
      </c>
      <c r="F114">
        <v>95</v>
      </c>
      <c r="G114">
        <v>3</v>
      </c>
      <c r="H114" t="s">
        <v>3</v>
      </c>
    </row>
    <row r="115" spans="1:14" x14ac:dyDescent="0.3">
      <c r="A115" t="s">
        <v>121</v>
      </c>
      <c r="D115" t="s">
        <v>122</v>
      </c>
      <c r="E115">
        <v>5</v>
      </c>
      <c r="F115">
        <v>100</v>
      </c>
      <c r="G115">
        <v>4</v>
      </c>
      <c r="H115" t="s">
        <v>3</v>
      </c>
    </row>
    <row r="116" spans="1:14" x14ac:dyDescent="0.3">
      <c r="A116" t="s">
        <v>25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26</v>
      </c>
    </row>
    <row r="117" spans="1:14" x14ac:dyDescent="0.3">
      <c r="A117" t="s">
        <v>126</v>
      </c>
      <c r="D117" t="s">
        <v>127</v>
      </c>
      <c r="E117">
        <v>5</v>
      </c>
      <c r="F117">
        <v>100</v>
      </c>
      <c r="G117">
        <v>1</v>
      </c>
      <c r="H117" t="s">
        <v>3</v>
      </c>
    </row>
    <row r="118" spans="1:14" x14ac:dyDescent="0.3">
      <c r="A118" t="s">
        <v>126</v>
      </c>
      <c r="D118" t="s">
        <v>128</v>
      </c>
      <c r="E118">
        <v>4</v>
      </c>
      <c r="F118">
        <v>95</v>
      </c>
      <c r="G118">
        <v>2</v>
      </c>
      <c r="H118" t="s">
        <v>3</v>
      </c>
      <c r="N118" s="11"/>
    </row>
    <row r="119" spans="1:14" x14ac:dyDescent="0.3">
      <c r="A119" t="s">
        <v>126</v>
      </c>
      <c r="D119" t="s">
        <v>129</v>
      </c>
      <c r="E119">
        <v>3</v>
      </c>
      <c r="F119">
        <v>90</v>
      </c>
      <c r="G119">
        <v>3</v>
      </c>
      <c r="H119" t="s">
        <v>3</v>
      </c>
    </row>
    <row r="120" spans="1:14" x14ac:dyDescent="0.3">
      <c r="A120" t="s">
        <v>126</v>
      </c>
      <c r="D120" t="s">
        <v>130</v>
      </c>
      <c r="E120">
        <v>2</v>
      </c>
      <c r="F120">
        <v>85</v>
      </c>
      <c r="G120">
        <v>4</v>
      </c>
      <c r="H120" t="s">
        <v>3</v>
      </c>
    </row>
    <row r="121" spans="1:14" x14ac:dyDescent="0.3">
      <c r="A121" t="s">
        <v>126</v>
      </c>
      <c r="D121" t="s">
        <v>131</v>
      </c>
      <c r="E121">
        <v>1</v>
      </c>
      <c r="F121">
        <v>80</v>
      </c>
      <c r="G121">
        <v>5</v>
      </c>
      <c r="H121" t="s">
        <v>3</v>
      </c>
    </row>
    <row r="122" spans="1:14" x14ac:dyDescent="0.3">
      <c r="A122" t="s">
        <v>26</v>
      </c>
      <c r="B122" t="s">
        <v>26</v>
      </c>
      <c r="C122" t="s">
        <v>26</v>
      </c>
      <c r="D122" t="s">
        <v>26</v>
      </c>
      <c r="E122" t="s">
        <v>26</v>
      </c>
      <c r="F122" t="s">
        <v>26</v>
      </c>
      <c r="G122" t="s">
        <v>26</v>
      </c>
      <c r="H122" t="s">
        <v>25</v>
      </c>
    </row>
    <row r="123" spans="1:14" x14ac:dyDescent="0.3">
      <c r="A123" t="s">
        <v>132</v>
      </c>
      <c r="B123">
        <v>0</v>
      </c>
      <c r="C123">
        <v>0.7</v>
      </c>
      <c r="D123" t="s">
        <v>37</v>
      </c>
      <c r="E123">
        <v>5</v>
      </c>
      <c r="F123">
        <v>100</v>
      </c>
      <c r="G123">
        <v>1</v>
      </c>
      <c r="H123" t="s">
        <v>145</v>
      </c>
    </row>
    <row r="124" spans="1:14" x14ac:dyDescent="0.3">
      <c r="A124" t="s">
        <v>132</v>
      </c>
      <c r="B124">
        <v>0.7</v>
      </c>
      <c r="C124">
        <v>1.5</v>
      </c>
      <c r="D124" t="s">
        <v>38</v>
      </c>
      <c r="E124">
        <v>4</v>
      </c>
      <c r="F124">
        <v>95</v>
      </c>
      <c r="G124">
        <v>2</v>
      </c>
      <c r="H124" t="s">
        <v>145</v>
      </c>
    </row>
    <row r="125" spans="1:14" x14ac:dyDescent="0.3">
      <c r="A125" t="s">
        <v>132</v>
      </c>
      <c r="B125">
        <v>1.5</v>
      </c>
      <c r="C125">
        <v>3</v>
      </c>
      <c r="D125" t="s">
        <v>39</v>
      </c>
      <c r="E125">
        <v>3</v>
      </c>
      <c r="F125">
        <v>85</v>
      </c>
      <c r="G125">
        <v>3</v>
      </c>
      <c r="H125" t="s">
        <v>145</v>
      </c>
    </row>
    <row r="126" spans="1:14" x14ac:dyDescent="0.3">
      <c r="A126" t="s">
        <v>132</v>
      </c>
      <c r="B126">
        <v>3</v>
      </c>
      <c r="C126">
        <v>5</v>
      </c>
      <c r="D126" t="s">
        <v>40</v>
      </c>
      <c r="E126">
        <v>2</v>
      </c>
      <c r="F126">
        <v>80</v>
      </c>
      <c r="G126">
        <v>4</v>
      </c>
      <c r="H126" t="s">
        <v>145</v>
      </c>
    </row>
    <row r="127" spans="1:14" x14ac:dyDescent="0.3">
      <c r="A127" t="s">
        <v>132</v>
      </c>
      <c r="B127">
        <v>5</v>
      </c>
      <c r="C127">
        <v>50</v>
      </c>
      <c r="D127" t="s">
        <v>133</v>
      </c>
      <c r="E127">
        <v>1</v>
      </c>
      <c r="F127">
        <v>70</v>
      </c>
      <c r="G127">
        <v>5</v>
      </c>
      <c r="H127" t="s">
        <v>145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574C-3F58-4742-959C-912A0259F676}">
  <dimension ref="A1:D24"/>
  <sheetViews>
    <sheetView workbookViewId="0">
      <selection activeCell="C14" sqref="C14"/>
    </sheetView>
  </sheetViews>
  <sheetFormatPr defaultRowHeight="14.4" x14ac:dyDescent="0.3"/>
  <cols>
    <col min="1" max="1" width="23.6640625" customWidth="1"/>
    <col min="2" max="2" width="16.109375" customWidth="1"/>
    <col min="4" max="4" width="16.44140625" customWidth="1"/>
  </cols>
  <sheetData>
    <row r="1" spans="1:4" x14ac:dyDescent="0.3">
      <c r="A1" s="1" t="s">
        <v>0</v>
      </c>
      <c r="B1" s="1" t="s">
        <v>12</v>
      </c>
      <c r="C1" t="s">
        <v>14</v>
      </c>
      <c r="D1" t="s">
        <v>16</v>
      </c>
    </row>
    <row r="2" spans="1:4" ht="15.6" x14ac:dyDescent="0.3">
      <c r="A2" s="8" t="s">
        <v>13</v>
      </c>
      <c r="B2" s="1">
        <v>10</v>
      </c>
      <c r="C2">
        <f>LOOKUP(B2,{0,4,8,16,32},{100,95,90,85,80})</f>
        <v>90</v>
      </c>
    </row>
    <row r="3" spans="1:4" ht="15.6" x14ac:dyDescent="0.3">
      <c r="A3" s="8" t="s">
        <v>17</v>
      </c>
      <c r="B3">
        <v>110</v>
      </c>
      <c r="C3">
        <f>LOOKUP(B3,{0,25,60,90,120},{50,70,80,90,100})</f>
        <v>90</v>
      </c>
    </row>
    <row r="4" spans="1:4" ht="15.6" x14ac:dyDescent="0.3">
      <c r="A4" s="8" t="s">
        <v>18</v>
      </c>
      <c r="B4" t="s">
        <v>72</v>
      </c>
      <c r="C4">
        <f>VLOOKUP(B4,database!$D$51:$F$59,3,FALSE)</f>
        <v>85</v>
      </c>
    </row>
    <row r="5" spans="1:4" ht="18" x14ac:dyDescent="0.3">
      <c r="A5" s="6" t="s">
        <v>85</v>
      </c>
      <c r="B5">
        <v>8</v>
      </c>
      <c r="C5">
        <f>LOOKUP(B5,{0,0.0001,2,10,25},{100,95,90,85,80})</f>
        <v>90</v>
      </c>
    </row>
    <row r="6" spans="1:4" ht="15.6" x14ac:dyDescent="0.3">
      <c r="A6" s="6" t="s">
        <v>19</v>
      </c>
      <c r="B6">
        <v>7</v>
      </c>
      <c r="C6">
        <f>LOOKUP(B6,{0,5,15,20},{85,90,95,100})</f>
        <v>90</v>
      </c>
    </row>
    <row r="7" spans="1:4" ht="15.6" x14ac:dyDescent="0.3">
      <c r="A7" s="6" t="s">
        <v>20</v>
      </c>
      <c r="B7">
        <v>1</v>
      </c>
      <c r="C7">
        <f>LOOKUP(B7,{0,2,5,10,15},{100,90,80,70,60})</f>
        <v>100</v>
      </c>
    </row>
    <row r="8" spans="1:4" ht="15.6" x14ac:dyDescent="0.3">
      <c r="A8" s="6" t="s">
        <v>21</v>
      </c>
      <c r="B8">
        <v>7.5</v>
      </c>
      <c r="C8">
        <f>LOOKUP(B8,{6.6,7.4,7.9,8.5},{100,95,90,85})</f>
        <v>95</v>
      </c>
    </row>
    <row r="9" spans="1:4" ht="15.6" x14ac:dyDescent="0.3">
      <c r="A9" s="6" t="s">
        <v>22</v>
      </c>
      <c r="B9">
        <v>0.1</v>
      </c>
      <c r="C9">
        <f>LOOKUP(B9,{0.01,1,3,15,50},{100,95,90,85,80})</f>
        <v>100</v>
      </c>
    </row>
    <row r="10" spans="1:4" ht="15.6" x14ac:dyDescent="0.3">
      <c r="A10" s="6" t="s">
        <v>23</v>
      </c>
      <c r="B10">
        <v>150</v>
      </c>
      <c r="C10">
        <f>IF(B10&gt;=150,100,IF(B10&gt;=100,90,IF(B10&gt;=50,80,70)))</f>
        <v>100</v>
      </c>
    </row>
    <row r="11" spans="1:4" ht="15.6" x14ac:dyDescent="0.3">
      <c r="A11" s="6" t="s">
        <v>24</v>
      </c>
      <c r="B11">
        <v>2</v>
      </c>
      <c r="C11">
        <f>LOOKUP(B11,{0,0.75,1.5,3},{0,90,95,100})</f>
        <v>95</v>
      </c>
    </row>
    <row r="12" spans="1:4" x14ac:dyDescent="0.3">
      <c r="A12" t="s">
        <v>86</v>
      </c>
      <c r="B12">
        <v>0</v>
      </c>
      <c r="C12">
        <f>IF(B12=0,100,LOOKUP(B12,{0.0001,25,75,100},{90,80,70,60}))</f>
        <v>100</v>
      </c>
    </row>
    <row r="13" spans="1:4" x14ac:dyDescent="0.3">
      <c r="A13" t="s">
        <v>92</v>
      </c>
      <c r="B13" t="s">
        <v>93</v>
      </c>
      <c r="C13">
        <f>VLOOKUP(B13,database!$D$67:$F$71,3,FALSE)</f>
        <v>100</v>
      </c>
    </row>
    <row r="14" spans="1:4" x14ac:dyDescent="0.3">
      <c r="A14" t="s">
        <v>94</v>
      </c>
      <c r="B14">
        <v>0.3</v>
      </c>
      <c r="C14">
        <f>LOOKUP(B14,{0,0.2,0.4,0.6},{85,90,95,100})</f>
        <v>90</v>
      </c>
    </row>
    <row r="15" spans="1:4" x14ac:dyDescent="0.3">
      <c r="A15" t="s">
        <v>102</v>
      </c>
      <c r="B15">
        <v>150</v>
      </c>
      <c r="C15">
        <f>LOOKUP(B15,{0,100,300,600,1000},{80,85,90,95,100})</f>
        <v>85</v>
      </c>
    </row>
    <row r="16" spans="1:4" x14ac:dyDescent="0.3">
      <c r="A16" t="s">
        <v>103</v>
      </c>
      <c r="B16">
        <v>200</v>
      </c>
      <c r="C16">
        <f>LOOKUP(B16,{0,60,120,180,240},{100,95,90,85,80})</f>
        <v>85</v>
      </c>
    </row>
    <row r="17" spans="1:3" x14ac:dyDescent="0.3">
      <c r="A17" t="s">
        <v>105</v>
      </c>
      <c r="B17">
        <v>3</v>
      </c>
      <c r="C17">
        <f>LOOKUP(B17,{0,2,5,8},{100,95,90,85})</f>
        <v>95</v>
      </c>
    </row>
    <row r="18" spans="1:3" x14ac:dyDescent="0.3">
      <c r="A18" t="s">
        <v>109</v>
      </c>
      <c r="B18">
        <v>25</v>
      </c>
      <c r="C18">
        <f>LOOKUP(B18,{0,15,25,40},{80,100,95,70})</f>
        <v>95</v>
      </c>
    </row>
    <row r="19" spans="1:3" x14ac:dyDescent="0.3">
      <c r="A19" t="s">
        <v>110</v>
      </c>
      <c r="B19" t="s">
        <v>112</v>
      </c>
      <c r="C19">
        <f>VLOOKUP(B19,database!$D$100:$F$102,3,FALSE)</f>
        <v>100</v>
      </c>
    </row>
    <row r="20" spans="1:3" x14ac:dyDescent="0.3">
      <c r="A20" t="s">
        <v>113</v>
      </c>
      <c r="B20" t="s">
        <v>115</v>
      </c>
      <c r="C20">
        <f>VLOOKUP(B20,database!$D$104:$F$106,3,FALSE)</f>
        <v>90</v>
      </c>
    </row>
    <row r="21" spans="1:3" x14ac:dyDescent="0.3">
      <c r="A21" t="s">
        <v>117</v>
      </c>
      <c r="B21" t="s">
        <v>120</v>
      </c>
      <c r="C21">
        <f>VLOOKUP(B21,database!$D$108:$F$110,3,FALSE)</f>
        <v>80</v>
      </c>
    </row>
    <row r="22" spans="1:3" x14ac:dyDescent="0.3">
      <c r="A22" t="s">
        <v>121</v>
      </c>
      <c r="B22" t="s">
        <v>123</v>
      </c>
      <c r="C22">
        <f>VLOOKUP(B22,database!$D$112:$F$115,3,FALSE)</f>
        <v>95</v>
      </c>
    </row>
    <row r="23" spans="1:3" x14ac:dyDescent="0.3">
      <c r="A23" t="s">
        <v>126</v>
      </c>
      <c r="B23" t="s">
        <v>129</v>
      </c>
      <c r="C23">
        <f>VLOOKUP(B23,database!$D$117:$F$121,3,FALSE)</f>
        <v>90</v>
      </c>
    </row>
    <row r="24" spans="1:3" x14ac:dyDescent="0.3">
      <c r="A24" t="s">
        <v>132</v>
      </c>
      <c r="B24">
        <v>2</v>
      </c>
      <c r="C24">
        <f>LOOKUP(B24,{0,0.7,2,3},{100,90,80,70})</f>
        <v>80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4DA6E1-CDBB-43B0-8D51-4DE7E1173980}">
          <x14:formula1>
            <xm:f>database!$D$51:$D$59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B967-8029-4732-8F80-8F0C4C42674D}">
  <dimension ref="A1:H51"/>
  <sheetViews>
    <sheetView workbookViewId="0">
      <selection activeCell="D41" sqref="D41"/>
    </sheetView>
  </sheetViews>
  <sheetFormatPr defaultRowHeight="18" x14ac:dyDescent="0.35"/>
  <cols>
    <col min="1" max="1" width="23.5546875" customWidth="1"/>
    <col min="2" max="2" width="11.21875" style="12" customWidth="1"/>
    <col min="6" max="6" width="5.88671875" customWidth="1"/>
    <col min="7" max="7" width="24.44140625" style="14" customWidth="1"/>
    <col min="8" max="8" width="11.109375" style="14" customWidth="1"/>
  </cols>
  <sheetData>
    <row r="1" spans="1:2" x14ac:dyDescent="0.35">
      <c r="A1" s="1" t="s">
        <v>0</v>
      </c>
      <c r="B1" s="1" t="s">
        <v>5</v>
      </c>
    </row>
    <row r="2" spans="1:2" x14ac:dyDescent="0.35">
      <c r="A2" t="s">
        <v>13</v>
      </c>
      <c r="B2" s="1">
        <f>assessment!C2</f>
        <v>90</v>
      </c>
    </row>
    <row r="3" spans="1:2" x14ac:dyDescent="0.35">
      <c r="A3" t="s">
        <v>17</v>
      </c>
      <c r="B3" s="12">
        <f>assessment!C3</f>
        <v>90</v>
      </c>
    </row>
    <row r="4" spans="1:2" x14ac:dyDescent="0.35">
      <c r="A4" t="s">
        <v>18</v>
      </c>
      <c r="B4" s="12">
        <f>assessment!C4</f>
        <v>85</v>
      </c>
    </row>
    <row r="5" spans="1:2" x14ac:dyDescent="0.35">
      <c r="A5" t="s">
        <v>31</v>
      </c>
      <c r="B5" s="12">
        <f>assessment!C5</f>
        <v>90</v>
      </c>
    </row>
    <row r="6" spans="1:2" x14ac:dyDescent="0.35">
      <c r="A6" t="s">
        <v>19</v>
      </c>
      <c r="B6" s="12">
        <f>assessment!C6</f>
        <v>90</v>
      </c>
    </row>
    <row r="7" spans="1:2" x14ac:dyDescent="0.35">
      <c r="A7" t="s">
        <v>20</v>
      </c>
      <c r="B7" s="12">
        <f>assessment!C7</f>
        <v>100</v>
      </c>
    </row>
    <row r="8" spans="1:2" x14ac:dyDescent="0.35">
      <c r="A8" t="s">
        <v>21</v>
      </c>
      <c r="B8" s="12">
        <f>assessment!C8</f>
        <v>95</v>
      </c>
    </row>
    <row r="9" spans="1:2" x14ac:dyDescent="0.35">
      <c r="A9" t="s">
        <v>22</v>
      </c>
      <c r="B9" s="12">
        <f>assessment!C9</f>
        <v>100</v>
      </c>
    </row>
    <row r="10" spans="1:2" x14ac:dyDescent="0.35">
      <c r="A10" t="s">
        <v>23</v>
      </c>
      <c r="B10" s="12">
        <f>assessment!C10</f>
        <v>100</v>
      </c>
    </row>
    <row r="11" spans="1:2" x14ac:dyDescent="0.35">
      <c r="A11" t="s">
        <v>24</v>
      </c>
      <c r="B11" s="12">
        <f>assessment!C11</f>
        <v>95</v>
      </c>
    </row>
    <row r="12" spans="1:2" x14ac:dyDescent="0.35">
      <c r="A12" t="s">
        <v>74</v>
      </c>
      <c r="B12" s="12">
        <f>(B2/100)*(B3/100)*(B4/100)*(B5/100)*(B6/100)*(B7/100)*(B8/100)*(B9/100)*(B10/100)*(B11/100)</f>
        <v>0.50331071250000003</v>
      </c>
    </row>
    <row r="13" spans="1:2" x14ac:dyDescent="0.35">
      <c r="A13" t="s">
        <v>75</v>
      </c>
      <c r="B13" s="12" t="str">
        <f>LOOKUP(B12,refrences!$C$2:$C$5,refrences!$A$2:$A$5)</f>
        <v>Moderate</v>
      </c>
    </row>
    <row r="14" spans="1:2" x14ac:dyDescent="0.35">
      <c r="A14" t="s">
        <v>86</v>
      </c>
      <c r="B14" s="12">
        <f>assessment!C12</f>
        <v>100</v>
      </c>
    </row>
    <row r="15" spans="1:2" x14ac:dyDescent="0.35">
      <c r="A15" t="s">
        <v>92</v>
      </c>
      <c r="B15" s="12">
        <f>assessment!C13</f>
        <v>100</v>
      </c>
    </row>
    <row r="16" spans="1:2" x14ac:dyDescent="0.35">
      <c r="A16" t="s">
        <v>94</v>
      </c>
      <c r="B16" s="12">
        <f>assessment!C14</f>
        <v>90</v>
      </c>
    </row>
    <row r="17" spans="1:2" x14ac:dyDescent="0.35">
      <c r="A17" t="s">
        <v>134</v>
      </c>
      <c r="B17" s="12">
        <f>B14/100*B15/100*B16/100</f>
        <v>0.9</v>
      </c>
    </row>
    <row r="18" spans="1:2" x14ac:dyDescent="0.35">
      <c r="A18" t="s">
        <v>135</v>
      </c>
      <c r="B18" s="12" t="str">
        <f>LOOKUP(B17,refrences!$C$2:$C$5,refrences!$A$2:$A$5)</f>
        <v>High</v>
      </c>
    </row>
    <row r="19" spans="1:2" x14ac:dyDescent="0.35">
      <c r="A19" t="s">
        <v>102</v>
      </c>
      <c r="B19" s="12">
        <f>assessment!C15</f>
        <v>85</v>
      </c>
    </row>
    <row r="20" spans="1:2" x14ac:dyDescent="0.35">
      <c r="A20" t="s">
        <v>103</v>
      </c>
      <c r="B20" s="12">
        <f>assessment!C16</f>
        <v>85</v>
      </c>
    </row>
    <row r="21" spans="1:2" x14ac:dyDescent="0.35">
      <c r="A21" t="s">
        <v>105</v>
      </c>
      <c r="B21" s="12">
        <f>assessment!C17</f>
        <v>95</v>
      </c>
    </row>
    <row r="22" spans="1:2" x14ac:dyDescent="0.35">
      <c r="A22" t="s">
        <v>109</v>
      </c>
      <c r="B22" s="12">
        <f>assessment!C18</f>
        <v>95</v>
      </c>
    </row>
    <row r="23" spans="1:2" x14ac:dyDescent="0.35">
      <c r="A23" t="s">
        <v>136</v>
      </c>
      <c r="B23" s="12">
        <f>B19/100*B20/100*B21/100*B22/100</f>
        <v>0.65205625000000011</v>
      </c>
    </row>
    <row r="24" spans="1:2" x14ac:dyDescent="0.35">
      <c r="A24" t="s">
        <v>137</v>
      </c>
      <c r="B24" s="12" t="str">
        <f>LOOKUP(B23,refrences!$C$2:$C$5,refrences!$A$2:$A$5)</f>
        <v>High</v>
      </c>
    </row>
    <row r="25" spans="1:2" x14ac:dyDescent="0.35">
      <c r="A25" t="s">
        <v>110</v>
      </c>
      <c r="B25" s="12">
        <f>assessment!C19</f>
        <v>100</v>
      </c>
    </row>
    <row r="26" spans="1:2" x14ac:dyDescent="0.35">
      <c r="A26" t="s">
        <v>113</v>
      </c>
      <c r="B26" s="12">
        <f>assessment!C20</f>
        <v>90</v>
      </c>
    </row>
    <row r="27" spans="1:2" x14ac:dyDescent="0.35">
      <c r="A27" t="s">
        <v>117</v>
      </c>
      <c r="B27" s="12">
        <f>assessment!C21</f>
        <v>80</v>
      </c>
    </row>
    <row r="28" spans="1:2" x14ac:dyDescent="0.35">
      <c r="A28" t="s">
        <v>121</v>
      </c>
      <c r="B28" s="12">
        <f>assessment!C22</f>
        <v>95</v>
      </c>
    </row>
    <row r="29" spans="1:2" x14ac:dyDescent="0.35">
      <c r="A29" t="s">
        <v>138</v>
      </c>
      <c r="B29" s="12">
        <f>B25/100*B26/100*B27/100*B28/100</f>
        <v>0.68399999999999994</v>
      </c>
    </row>
    <row r="30" spans="1:2" x14ac:dyDescent="0.35">
      <c r="A30" t="s">
        <v>139</v>
      </c>
      <c r="B30" s="12" t="str">
        <f>LOOKUP(B29,refrences!$C$2:$C$5,refrences!$A$2:$A$5)</f>
        <v>High</v>
      </c>
    </row>
    <row r="31" spans="1:2" x14ac:dyDescent="0.35">
      <c r="A31" t="s">
        <v>126</v>
      </c>
      <c r="B31" s="12">
        <f>assessment!C23</f>
        <v>90</v>
      </c>
    </row>
    <row r="32" spans="1:2" x14ac:dyDescent="0.35">
      <c r="A32" t="s">
        <v>132</v>
      </c>
      <c r="B32" s="12">
        <f>assessment!C24</f>
        <v>80</v>
      </c>
    </row>
    <row r="33" spans="1:2" x14ac:dyDescent="0.35">
      <c r="A33" t="s">
        <v>140</v>
      </c>
      <c r="B33" s="12">
        <f>B31/100*B32/100</f>
        <v>0.72</v>
      </c>
    </row>
    <row r="34" spans="1:2" x14ac:dyDescent="0.35">
      <c r="A34" t="s">
        <v>141</v>
      </c>
      <c r="B34" s="12" t="str">
        <f>LOOKUP(B33,refrences!$C$2:$C$5,refrences!$A$2:$A$5)</f>
        <v>High</v>
      </c>
    </row>
    <row r="36" spans="1:2" x14ac:dyDescent="0.35">
      <c r="A36" t="s">
        <v>142</v>
      </c>
      <c r="B36" s="12">
        <f>B12*B17*B23*B29*B33</f>
        <v>0.14546293418928755</v>
      </c>
    </row>
    <row r="37" spans="1:2" x14ac:dyDescent="0.35">
      <c r="A37" t="s">
        <v>143</v>
      </c>
      <c r="B37" s="12" t="str">
        <f>LOOKUP(B36,refrences!$C$2:$C$5,refrences!$A$2:$A$5)</f>
        <v xml:space="preserve"> Low</v>
      </c>
    </row>
    <row r="39" spans="1:2" x14ac:dyDescent="0.35">
      <c r="A39" s="13" t="s">
        <v>0</v>
      </c>
      <c r="B39" s="13" t="s">
        <v>5</v>
      </c>
    </row>
    <row r="40" spans="1:2" x14ac:dyDescent="0.35">
      <c r="A40" s="14" t="s">
        <v>74</v>
      </c>
      <c r="B40" s="15">
        <v>0.364767816375</v>
      </c>
    </row>
    <row r="41" spans="1:2" x14ac:dyDescent="0.35">
      <c r="A41" s="14" t="s">
        <v>75</v>
      </c>
      <c r="B41" s="14" t="s">
        <v>6</v>
      </c>
    </row>
    <row r="42" spans="1:2" x14ac:dyDescent="0.35">
      <c r="A42" s="14" t="s">
        <v>134</v>
      </c>
      <c r="B42" s="14">
        <v>0.57600000000000007</v>
      </c>
    </row>
    <row r="43" spans="1:2" x14ac:dyDescent="0.35">
      <c r="A43" s="14" t="s">
        <v>135</v>
      </c>
      <c r="B43" s="14" t="s">
        <v>6</v>
      </c>
    </row>
    <row r="44" spans="1:2" x14ac:dyDescent="0.35">
      <c r="A44" s="14" t="s">
        <v>136</v>
      </c>
      <c r="B44" s="15">
        <v>0.65205625000000011</v>
      </c>
    </row>
    <row r="45" spans="1:2" x14ac:dyDescent="0.35">
      <c r="A45" s="14" t="s">
        <v>137</v>
      </c>
      <c r="B45" s="14" t="s">
        <v>11</v>
      </c>
    </row>
    <row r="46" spans="1:2" x14ac:dyDescent="0.35">
      <c r="A46" s="14" t="s">
        <v>138</v>
      </c>
      <c r="B46" s="14">
        <v>0.68400000000000005</v>
      </c>
    </row>
    <row r="47" spans="1:2" x14ac:dyDescent="0.35">
      <c r="A47" s="14" t="s">
        <v>139</v>
      </c>
      <c r="B47" s="14" t="s">
        <v>11</v>
      </c>
    </row>
    <row r="48" spans="1:2" x14ac:dyDescent="0.35">
      <c r="A48" s="14" t="s">
        <v>140</v>
      </c>
      <c r="B48" s="14">
        <v>0.72</v>
      </c>
    </row>
    <row r="49" spans="1:2" x14ac:dyDescent="0.35">
      <c r="A49" s="14" t="s">
        <v>141</v>
      </c>
      <c r="B49" s="14" t="s">
        <v>11</v>
      </c>
    </row>
    <row r="50" spans="1:2" x14ac:dyDescent="0.35">
      <c r="A50" s="14" t="s">
        <v>142</v>
      </c>
      <c r="B50" s="15">
        <v>6.7470302443334379E-2</v>
      </c>
    </row>
    <row r="51" spans="1:2" x14ac:dyDescent="0.35">
      <c r="A51" s="14" t="s">
        <v>143</v>
      </c>
      <c r="B51" s="1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37BE-2F63-44DD-BD35-49741F3AD063}">
  <dimension ref="A1:K13"/>
  <sheetViews>
    <sheetView workbookViewId="0">
      <selection activeCell="F15" sqref="F15"/>
    </sheetView>
  </sheetViews>
  <sheetFormatPr defaultRowHeight="14.4" x14ac:dyDescent="0.3"/>
  <cols>
    <col min="2" max="2" width="13.33203125" customWidth="1"/>
    <col min="11" max="11" width="28.21875" customWidth="1"/>
  </cols>
  <sheetData>
    <row r="1" spans="1:11" x14ac:dyDescent="0.3">
      <c r="A1" s="1" t="s">
        <v>77</v>
      </c>
      <c r="B1" t="s">
        <v>83</v>
      </c>
      <c r="C1" t="s">
        <v>82</v>
      </c>
      <c r="D1" s="1" t="s">
        <v>76</v>
      </c>
    </row>
    <row r="2" spans="1:11" x14ac:dyDescent="0.3">
      <c r="A2" t="s">
        <v>8</v>
      </c>
      <c r="B2">
        <v>0.1</v>
      </c>
      <c r="C2">
        <v>0</v>
      </c>
      <c r="D2" s="7" t="s">
        <v>78</v>
      </c>
      <c r="K2" s="1"/>
    </row>
    <row r="3" spans="1:11" ht="16.2" customHeight="1" x14ac:dyDescent="0.3">
      <c r="A3" t="s">
        <v>84</v>
      </c>
      <c r="B3">
        <v>0.3</v>
      </c>
      <c r="C3">
        <v>0.1</v>
      </c>
      <c r="D3" s="7" t="s">
        <v>79</v>
      </c>
      <c r="K3" s="7"/>
    </row>
    <row r="4" spans="1:11" x14ac:dyDescent="0.3">
      <c r="A4" t="s">
        <v>6</v>
      </c>
      <c r="B4">
        <v>0.6</v>
      </c>
      <c r="C4">
        <v>0.3</v>
      </c>
      <c r="D4" s="7" t="s">
        <v>80</v>
      </c>
      <c r="K4" s="7"/>
    </row>
    <row r="5" spans="1:11" x14ac:dyDescent="0.3">
      <c r="A5" t="s">
        <v>11</v>
      </c>
      <c r="B5">
        <v>1</v>
      </c>
      <c r="C5">
        <v>0.6</v>
      </c>
      <c r="D5" s="7" t="s">
        <v>81</v>
      </c>
      <c r="K5" s="7"/>
    </row>
    <row r="6" spans="1:11" x14ac:dyDescent="0.3">
      <c r="K6" s="7"/>
    </row>
    <row r="10" spans="1:11" x14ac:dyDescent="0.3">
      <c r="H10" s="4"/>
    </row>
    <row r="11" spans="1:11" x14ac:dyDescent="0.3">
      <c r="H11" s="4"/>
    </row>
    <row r="12" spans="1:11" x14ac:dyDescent="0.3">
      <c r="H12" s="4"/>
    </row>
    <row r="13" spans="1:11" x14ac:dyDescent="0.3">
      <c r="H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assessment</vt:lpstr>
      <vt:lpstr>results</vt:lpstr>
      <vt:lpstr>refrences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2026-08-08T18:46:46Z</dcterms:modified>
</cp:coreProperties>
</file>